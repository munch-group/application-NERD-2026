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Over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<sst xmlns="http://schemas.openxmlformats.org/spreadsheetml/2006/main" count="137" uniqueCount="91">
  <si>
    <t xml:space="preserve">NERD 2026 — Project Budget</t>
  </si>
  <si>
    <t xml:space="preserve">Novo Nordisk Foundation — up to DKK 16,000,000 over 6 years (Jan 2027 – Dec 2032)</t>
  </si>
  <si>
    <t xml:space="preserve">NB: Overhead/indirect costs NOT eligible. Blue cells = editable inputs. Black cells = formulas.</t>
  </si>
  <si>
    <t xml:space="preserve">KEY ASSUMPTIONS</t>
  </si>
  <si>
    <t xml:space="preserve">Base year for salary rates:</t>
  </si>
  <si>
    <t xml:space="preserve">(from AU RSO template)</t>
  </si>
  <si>
    <t xml:space="preserve">Annual salary increase:</t>
  </si>
  <si>
    <t xml:space="preserve">(2% p.a.)</t>
  </si>
  <si>
    <t xml:space="preserve">Project start:</t>
  </si>
  <si>
    <t xml:space="preserve">Jan 2027</t>
  </si>
  <si>
    <t xml:space="preserve">Project end:</t>
  </si>
  <si>
    <t xml:space="preserve">Dec 2032</t>
  </si>
  <si>
    <t xml:space="preserve">Grant ceiling (DKK):</t>
  </si>
  <si>
    <t xml:space="preserve">MONTHLY SALARY RATES (2018 base, from AU RSO budget template)</t>
  </si>
  <si>
    <t xml:space="preserve">Position</t>
  </si>
  <si>
    <t xml:space="preserve">2018 Monthly (DKK)</t>
  </si>
  <si>
    <t xml:space="preserve">2026 Monthly (DKK)</t>
  </si>
  <si>
    <t xml:space="preserve">2026 Annual (DKK)</t>
  </si>
  <si>
    <t xml:space="preserve">PhD (3-yr / Part B monthly)</t>
  </si>
  <si>
    <t xml:space="preserve">PhD Part A (4-yr, first 2 years)</t>
  </si>
  <si>
    <t xml:space="preserve">Postdoc</t>
  </si>
  <si>
    <t xml:space="preserve">i. PERSONNEL — salary cost per calendar year (months worked × monthly rate × inflation)</t>
  </si>
  <si>
    <t xml:space="preserve">Position / Name</t>
  </si>
  <si>
    <t xml:space="preserve">Rate row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</si>
  <si>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</si>
  <si>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</si>
  <si>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</si>
  <si>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</si>
  <si>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</si>
  <si>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</si>
  <si>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Total (DKK)</t>
  </si>
  <si>
    <t xml:space="preserve">Postdoc 1 — WP1.1, WP1.2</t>
  </si>
  <si>
    <t xml:space="preserve">Row 16</t>
  </si>
  <si>
    <t xml:space="preserve">Postdoc 2 — WP2.1, WP2.2</t>
  </si>
  <si>
    <t xml:space="preserve">Postdoc 3 — WP1.3, WP1.4, WP3.1</t>
  </si>
  <si>
    <t xml:space="preserve">PhD 1 Part A — WP2.3</t>
  </si>
  <si>
    <t xml:space="preserve">Row 15</t>
  </si>
  <si>
    <t xml:space="preserve">PhD 1 Part B — WP3.1</t>
  </si>
  <si>
    <t xml:space="preserve">Row 14</t>
  </si>
  <si>
    <t xml:space="preserve">PhD 2 (3-yr) — WP3.2</t>
  </si>
  <si>
    <t xml:space="preserve">TOTAL SALARIES</t>
  </si>
  <si>
    <t xml:space="preserve">ii. PHD TUITION FEES (studieafgift, 107,700 DKK/year)</t>
  </si>
  <si>
    <t xml:space="preserve">Item</t>
  </si>
  <si>
    <t xml:space="preserve">PhD 1 tuition (4 years: Aug 28 – Jul 32)</t>
  </si>
  <si>
    <t xml:space="preserve">PhD 2 tuition (3 years: Aug 29 – Jul 32)</t>
  </si>
  <si>
    <t xml:space="preserve">TOTAL TUITION</t>
  </si>
  <si>
    <t xml:space="preserve">iii. EQUIPMENT</t>
  </si>
  <si>
    <t xml:space="preserve">Laptops for new personnel (5 × 15,000)</t>
  </si>
  <si>
    <t xml:space="preserve">Monitors and peripherals</t>
  </si>
  <si>
    <t xml:space="preserve">TOTAL EQUIPMENT</t>
  </si>
  <si>
    <t xml:space="preserve">iv. OPERATING EXPENSES</t>
  </si>
  <si>
    <t xml:space="preserve">High-performance computing (GenomeDK)</t>
  </si>
  <si>
    <t xml:space="preserve">Conference travel</t>
  </si>
  <si>
    <t xml:space="preserve">Research visits and collaboration travel</t>
  </si>
  <si>
    <t xml:space="preserve">Consumables, software licenses, books</t>
  </si>
  <si>
    <t xml:space="preserve">Publication costs (open access)</t>
  </si>
  <si>
    <t xml:space="preserve">Workshop/seminar hosting</t>
  </si>
  <si>
    <t xml:space="preserve">TOTAL OPERATING</t>
  </si>
  <si>
    <t xml:space="preserve">GRAND TOTAL</t>
  </si>
  <si>
    <t xml:space="preserve">REMAINING (under DKK 16M ceiling)</t>
  </si>
  <si>
    <t xml:space="preserve">BUDGET SUMMARY</t>
  </si>
  <si>
    <t xml:space="preserve">Salaries (i)</t>
  </si>
  <si>
    <t xml:space="preserve">PhD tuition fees (ii)</t>
  </si>
  <si>
    <t xml:space="preserve">Equipment (iii)</t>
  </si>
  <si>
    <t xml:space="preserve">Operating expenses (iv)</t>
  </si>
  <si>
    <t xml:space="preserve">As % of DKK 16M ceiling</t>
  </si>
  <si>
    <t xml:space="preserve">PERSONNEL TIMELINE</t>
  </si>
  <si>
    <t xml:space="preserve">Postdoc 1</t>
  </si>
  <si>
    <t xml:space="preserve">Jan–Dec</t>
  </si>
  <si>
    <t xml:space="preserve">Postdoc 2</t>
  </si>
  <si>
    <t xml:space="preserve">Jul–Dec</t>
  </si>
  <si>
    <t xml:space="preserve">Jan–Jun</t>
  </si>
  <si>
    <t xml:space="preserve">Postdoc 3</t>
  </si>
  <si>
    <t xml:space="preserve">PhD 1 (4-yr)</t>
  </si>
  <si>
    <t xml:space="preserve">Aug–Dec</t>
  </si>
  <si>
    <t xml:space="preserve">A</t>
  </si>
  <si>
    <t xml:space="preserve">Jan–Jul/Aug–Dec</t>
  </si>
  <si>
    <t xml:space="preserve">A→B</t>
  </si>
  <si>
    <t xml:space="preserve">B</t>
  </si>
  <si>
    <t xml:space="preserve">Jan–Jul  B</t>
  </si>
  <si>
    <t xml:space="preserve">PhD 2 (3-yr)</t>
  </si>
  <si>
    <t xml:space="preserve">Jan–Jul</t>
  </si>
  <si>
    <t xml:space="preserve">NOTES</t>
  </si>
  <si>
    <t xml:space="preserve">1. Salary rates from AU RSO budget template (2018 base), inflated at 2% p.a.</t>
  </si>
  <si>
    <t xml:space="preserve">2. NERD does NOT fund overhead/indirect costs — all figures are direct costs only.</t>
  </si>
  <si>
    <t xml:space="preserve">3. PhD Part A (first 2 years of 4-yr PhD): monthly rate = half of 3-yr PhD rate (per KM).</t>
  </si>
  <si>
    <t xml:space="preserve">4. PhD Part B (last 2 years of 4-yr PhD): monthly rate = same as 3-yr PhD rate.</t>
  </si>
  <si>
    <t xml:space="preserve">5. PhD tuition fee: 107,700 DKK/year (current AU rate). Adjust in yellow cells if changed.</t>
  </si>
  <si>
    <t xml:space="preserve">6. Postdoc starts staggered by ~6 months to ease recruitment.</t>
  </si>
  <si>
    <t xml:space="preserve">7. PhDs begin August. Postdocs can begin any time.</t>
  </si>
  <si>
    <t xml:space="preserve">8. Blue cells are editable inputs. Black cells contain formulas — do not overwrite.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</si>
</sst>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CC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B4C6E7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9" min="4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B6" s="5" t="s">
        <v>4</v>
      </c>
      <c r="C6" s="6" t="n">
        <v>2018</v>
      </c>
      <c r="D6" s="7" t="s">
        <v>5</v>
      </c>
    </row>
    <row r="7" customFormat="false" ht="15" hidden="false" customHeight="false" outlineLevel="0" collapsed="false">
      <c r="B7" s="5" t="s">
        <v>6</v>
      </c>
      <c r="C7" s="8" t="n">
        <v>0.02</v>
      </c>
      <c r="D7" s="7" t="s">
        <v>7</v>
      </c>
    </row>
    <row r="8" customFormat="false" ht="15" hidden="false" customHeight="false" outlineLevel="0" collapsed="false">
      <c r="B8" s="5" t="s">
        <v>8</v>
      </c>
      <c r="C8" s="6" t="s">
        <v>9</v>
      </c>
    </row>
    <row r="9" customFormat="false" ht="15" hidden="false" customHeight="false" outlineLevel="0" collapsed="false">
      <c r="B9" s="5" t="s">
        <v>10</v>
      </c>
      <c r="C9" s="6" t="s">
        <v>11</v>
      </c>
    </row>
    <row r="10" customFormat="false" ht="15" hidden="false" customHeight="false" outlineLevel="0" collapsed="false">
      <c r="B10" s="5" t="s">
        <v>12</v>
      </c>
      <c r="C10" s="9" t="n">
        <v>16000000</v>
      </c>
    </row>
    <row r="12" customFormat="false" ht="15" hidden="false" customHeight="false" outlineLevel="0" collapsed="false">
      <c r="A12" s="4" t="s">
        <v>13</v>
      </c>
    </row>
    <row r="13" customFormat="false" ht="15" hidden="false" customHeight="false" outlineLevel="0" collapsed="false">
      <c r="A13" s="10"/>
      <c r="B13" s="10" t="s">
        <v>14</v>
      </c>
      <c r="C13" s="10" t="s">
        <v>15</v>
      </c>
      <c r="D13" s="10" t="s">
        <v>16</v>
      </c>
      <c r="E13" s="10" t="s">
        <v>17</v>
      </c>
    </row>
    <row r="14" customFormat="false" ht="15" hidden="false" customHeight="false" outlineLevel="0" collapsed="false">
      <c r="B14" s="5" t="s">
        <v>18</v>
      </c>
      <c r="C14" s="9" t="n">
        <v>32754</v>
      </c>
      <c r="D14" s="11" t="n">
        <f aca="false">C14*(1+$C$7)^8</f>
        <v>38376.5313653482</v>
      </c>
      <c r="E14" s="11" t="n">
        <f aca="false">D14*12</f>
        <v>460518.376384179</v>
      </c>
    </row>
    <row r="15" customFormat="false" ht="15" hidden="false" customHeight="false" outlineLevel="0" collapsed="false">
      <c r="B15" s="5" t="s">
        <v>19</v>
      </c>
      <c r="C15" s="11" t="n">
        <f aca="false">C14/2</f>
        <v>16377</v>
      </c>
      <c r="D15" s="11" t="n">
        <f aca="false">C15*(1+$C$7)^8</f>
        <v>19188.2656826741</v>
      </c>
      <c r="E15" s="11" t="n">
        <f aca="false">D15*12</f>
        <v>230259.188192089</v>
      </c>
    </row>
    <row r="16" customFormat="false" ht="15" hidden="false" customHeight="false" outlineLevel="0" collapsed="false">
      <c r="B16" s="5" t="s">
        <v>20</v>
      </c>
      <c r="C16" s="9" t="n">
        <v>43543</v>
      </c>
      <c r="D16" s="11" t="n">
        <f aca="false">C16*(1+$C$7)^8</f>
        <v>51017.5644269817</v>
      </c>
      <c r="E16" s="11" t="n">
        <f aca="false">D16*12</f>
        <v>612210.77312378</v>
      </c>
    </row>
    <row r="18" customFormat="false" ht="15" hidden="false" customHeight="false" outlineLevel="0" collapsed="false">
      <c r="A18" s="4" t="s">
        <v>21</v>
      </c>
    </row>
    <row r="19" customFormat="false" ht="19.5" hidden="false" customHeight="true" outlineLevel="0" collapsed="false">
      <c r="A19" s="12"/>
      <c r="B19" s="12" t="s">
        <v>22</v>
      </c>
      <c r="C19" s="12" t="s">
        <v>23</v>
      </c>
      <c r="D19" s="12" t="s">
        <v>24</v>
      </c>
      <c r="E19" s="12" t="s">
        <v>25</v>
      </c>
      <c r="F19" s="12" t="s">
        <v>26</v>
      </c>
      <c r="G19" s="12" t="s">
        <v>27</v>
      </c>
      <c r="H19" s="12" t="s">
        <v>28</v>
      </c>
      <c r="I19" s="12" t="s">
        <v>29</v>
      </c>
      <c r="J19" s="12" t="s">
        <v>30</v>
      </c>
    </row>
    <row r="20" customFormat="false" ht="15" hidden="false" customHeight="false" outlineLevel="0" collapsed="false">
      <c r="A20" s="13" t="n">
        <v>1</v>
      </c>
      <c r="B20" s="5" t="s">
        <v>31</v>
      </c>
      <c r="C20" s="14" t="s">
        <v>32</v>
      </c>
      <c r="D20" s="15" t="n">
        <v>12</v>
      </c>
      <c r="E20" s="15" t="n">
        <v>12</v>
      </c>
      <c r="F20" s="15" t="n">
        <v>12</v>
      </c>
      <c r="G20" s="15" t="n">
        <v>0</v>
      </c>
      <c r="H20" s="15" t="n">
        <v>0</v>
      </c>
      <c r="I20" s="15" t="n">
        <v>0</v>
      </c>
      <c r="J20" s="11" t="n">
        <f aca="false">D20*$C$16*(1+$C$7)^9+E20*$C$16*(1+$C$7)^10+F20*$C$16*(1+$C$7)^11+G20*$C$16*(1+$C$7)^12+H20*$C$16*(1+$C$7)^13+I20*$C$16*(1+$C$7)^14</f>
        <v>1911082.04706938</v>
      </c>
    </row>
    <row r="21" customFormat="false" ht="15" hidden="false" customHeight="false" outlineLevel="0" collapsed="false">
      <c r="A21" s="16" t="n">
        <v>2</v>
      </c>
      <c r="B21" s="17" t="s">
        <v>33</v>
      </c>
      <c r="C21" s="18" t="s">
        <v>32</v>
      </c>
      <c r="D21" s="15" t="n">
        <v>6</v>
      </c>
      <c r="E21" s="15" t="n">
        <v>12</v>
      </c>
      <c r="F21" s="15" t="n">
        <v>12</v>
      </c>
      <c r="G21" s="15" t="n">
        <v>6</v>
      </c>
      <c r="H21" s="15" t="n">
        <v>0</v>
      </c>
      <c r="I21" s="15" t="n">
        <v>0</v>
      </c>
      <c r="J21" s="19" t="n">
        <f aca="false">D21*$C$16*(1+$C$7)^9+E21*$C$16*(1+$C$7)^10+F21*$C$16*(1+$C$7)^11+G21*$C$16*(1+$C$7)^12+H21*$C$16*(1+$C$7)^13+I21*$C$16*(1+$C$7)^14</f>
        <v>1930192.86754007</v>
      </c>
    </row>
    <row r="22" customFormat="false" ht="15" hidden="false" customHeight="false" outlineLevel="0" collapsed="false">
      <c r="A22" s="13" t="n">
        <v>3</v>
      </c>
      <c r="B22" s="5" t="s">
        <v>34</v>
      </c>
      <c r="C22" s="14" t="s">
        <v>32</v>
      </c>
      <c r="D22" s="15" t="n">
        <v>0</v>
      </c>
      <c r="E22" s="15" t="n">
        <v>12</v>
      </c>
      <c r="F22" s="15" t="n">
        <v>12</v>
      </c>
      <c r="G22" s="15" t="n">
        <v>12</v>
      </c>
      <c r="H22" s="15" t="n">
        <v>0</v>
      </c>
      <c r="I22" s="15" t="n">
        <v>0</v>
      </c>
      <c r="J22" s="11" t="n">
        <f aca="false">D22*$C$16*(1+$C$7)^9+E22*$C$16*(1+$C$7)^10+F22*$C$16*(1+$C$7)^11+G22*$C$16*(1+$C$7)^12+H22*$C$16*(1+$C$7)^13+I22*$C$16*(1+$C$7)^14</f>
        <v>1949303.68801076</v>
      </c>
    </row>
    <row r="23" customFormat="false" ht="15" hidden="false" customHeight="false" outlineLevel="0" collapsed="false">
      <c r="A23" s="16" t="n">
        <v>4</v>
      </c>
      <c r="B23" s="17" t="s">
        <v>35</v>
      </c>
      <c r="C23" s="18" t="s">
        <v>36</v>
      </c>
      <c r="D23" s="15" t="n">
        <v>0</v>
      </c>
      <c r="E23" s="15" t="n">
        <v>5</v>
      </c>
      <c r="F23" s="15" t="n">
        <v>12</v>
      </c>
      <c r="G23" s="15" t="n">
        <v>7</v>
      </c>
      <c r="H23" s="15" t="n">
        <v>0</v>
      </c>
      <c r="I23" s="15" t="n">
        <v>0</v>
      </c>
      <c r="J23" s="19" t="n">
        <f aca="false">D23*$C$15*(1+$C$7)^9+E23*$C$15*(1+$C$7)^10+F23*$C$15*(1+$C$7)^11+G23*$C$15*(1+$C$7)^12+H23*$C$15*(1+$C$7)^13+I23*$C$15*(1+$C$7)^14</f>
        <v>489560.221751077</v>
      </c>
    </row>
    <row r="24" customFormat="false" ht="15" hidden="false" customHeight="false" outlineLevel="0" collapsed="false">
      <c r="A24" s="13" t="n">
        <v>5</v>
      </c>
      <c r="B24" s="5" t="s">
        <v>37</v>
      </c>
      <c r="C24" s="14" t="s">
        <v>38</v>
      </c>
      <c r="D24" s="15" t="n">
        <v>0</v>
      </c>
      <c r="E24" s="15" t="n">
        <v>0</v>
      </c>
      <c r="F24" s="15" t="n">
        <v>0</v>
      </c>
      <c r="G24" s="15" t="n">
        <v>5</v>
      </c>
      <c r="H24" s="15" t="n">
        <v>12</v>
      </c>
      <c r="I24" s="15" t="n">
        <v>7</v>
      </c>
      <c r="J24" s="11" t="n">
        <f aca="false">D24*$C$14*(1+$C$7)^9+E24*$C$14*(1+$C$7)^10+F24*$C$14*(1+$C$7)^11+G24*$C$14*(1+$C$7)^12+H24*$C$14*(1+$C$7)^13+I24*$C$14*(1+$C$7)^14</f>
        <v>1018676.90941964</v>
      </c>
    </row>
    <row r="25" customFormat="false" ht="15" hidden="false" customHeight="false" outlineLevel="0" collapsed="false">
      <c r="A25" s="16" t="n">
        <v>6</v>
      </c>
      <c r="B25" s="17" t="s">
        <v>39</v>
      </c>
      <c r="C25" s="18" t="s">
        <v>38</v>
      </c>
      <c r="D25" s="15" t="n">
        <v>0</v>
      </c>
      <c r="E25" s="15" t="n">
        <v>0</v>
      </c>
      <c r="F25" s="15" t="n">
        <v>5</v>
      </c>
      <c r="G25" s="15" t="n">
        <v>12</v>
      </c>
      <c r="H25" s="15" t="n">
        <v>12</v>
      </c>
      <c r="I25" s="15" t="n">
        <v>7</v>
      </c>
      <c r="J25" s="19" t="n">
        <f aca="false">D25*$C$14*(1+$C$7)^9+E25*$C$14*(1+$C$7)^10+F25*$C$14*(1+$C$7)^11+G25*$C$14*(1+$C$7)^12+H25*$C$14*(1+$C$7)^13+I25*$C$14*(1+$C$7)^14</f>
        <v>1513084.26207914</v>
      </c>
    </row>
    <row r="26" customFormat="false" ht="15" hidden="false" customHeight="false" outlineLevel="0" collapsed="false">
      <c r="A26" s="20"/>
      <c r="B26" s="21" t="s">
        <v>40</v>
      </c>
      <c r="C26" s="20"/>
      <c r="D26" s="22" t="n">
        <f aca="false">SUM(D20:D25)</f>
        <v>18</v>
      </c>
      <c r="E26" s="22" t="n">
        <f aca="false">SUM(E20:E25)</f>
        <v>41</v>
      </c>
      <c r="F26" s="22" t="n">
        <f aca="false">SUM(F20:F25)</f>
        <v>53</v>
      </c>
      <c r="G26" s="22" t="n">
        <f aca="false">SUM(G20:G25)</f>
        <v>42</v>
      </c>
      <c r="H26" s="22" t="n">
        <f aca="false">SUM(H20:H25)</f>
        <v>24</v>
      </c>
      <c r="I26" s="22" t="n">
        <f aca="false">SUM(I20:I25)</f>
        <v>14</v>
      </c>
      <c r="J26" s="23" t="n">
        <f aca="false">SUM(J20:J25)</f>
        <v>8811899.99587007</v>
      </c>
    </row>
    <row r="28" customFormat="false" ht="15" hidden="false" customHeight="false" outlineLevel="0" collapsed="false">
      <c r="A28" s="4" t="s">
        <v>41</v>
      </c>
    </row>
    <row r="29" customFormat="false" ht="15" hidden="false" customHeight="false" outlineLevel="0" collapsed="false">
      <c r="A29" s="10"/>
      <c r="B29" s="10" t="s">
        <v>42</v>
      </c>
      <c r="C29" s="10"/>
      <c r="D29" s="10" t="s">
        <v>24</v>
      </c>
      <c r="E29" s="10" t="s">
        <v>25</v>
      </c>
      <c r="F29" s="10" t="s">
        <v>26</v>
      </c>
      <c r="G29" s="10" t="s">
        <v>27</v>
      </c>
      <c r="H29" s="10" t="s">
        <v>28</v>
      </c>
      <c r="I29" s="10" t="s">
        <v>29</v>
      </c>
      <c r="J29" s="10" t="s">
        <v>30</v>
      </c>
    </row>
    <row r="30" customFormat="false" ht="15" hidden="false" customHeight="false" outlineLevel="0" collapsed="false">
      <c r="B30" s="5" t="s">
        <v>43</v>
      </c>
      <c r="D30" s="24" t="n">
        <v>0</v>
      </c>
      <c r="E30" s="24" t="n">
        <v>107700</v>
      </c>
      <c r="F30" s="24" t="n">
        <v>107700</v>
      </c>
      <c r="G30" s="24" t="n">
        <v>107700</v>
      </c>
      <c r="H30" s="24" t="n">
        <v>107700</v>
      </c>
      <c r="I30" s="24" t="n">
        <v>0</v>
      </c>
      <c r="J30" s="11" t="n">
        <f aca="false">SUM(D30:I30)</f>
        <v>430800</v>
      </c>
    </row>
    <row r="31" customFormat="false" ht="15" hidden="false" customHeight="false" outlineLevel="0" collapsed="false">
      <c r="B31" s="5" t="s">
        <v>44</v>
      </c>
      <c r="D31" s="24" t="n">
        <v>0</v>
      </c>
      <c r="E31" s="24" t="n">
        <v>0</v>
      </c>
      <c r="F31" s="24" t="n">
        <v>107700</v>
      </c>
      <c r="G31" s="24" t="n">
        <v>107700</v>
      </c>
      <c r="H31" s="24" t="n">
        <v>107700</v>
      </c>
      <c r="I31" s="24" t="n">
        <v>0</v>
      </c>
      <c r="J31" s="11" t="n">
        <f aca="false">SUM(D31:I31)</f>
        <v>323100</v>
      </c>
    </row>
    <row r="32" customFormat="false" ht="15" hidden="false" customHeight="false" outlineLevel="0" collapsed="false">
      <c r="A32" s="20"/>
      <c r="B32" s="21" t="s">
        <v>45</v>
      </c>
      <c r="C32" s="20"/>
      <c r="D32" s="22" t="n">
        <f aca="false">SUM(D30:D31)</f>
        <v>0</v>
      </c>
      <c r="E32" s="22" t="n">
        <f aca="false">SUM(E30:E31)</f>
        <v>107700</v>
      </c>
      <c r="F32" s="22" t="n">
        <f aca="false">SUM(F30:F31)</f>
        <v>215400</v>
      </c>
      <c r="G32" s="22" t="n">
        <f aca="false">SUM(G30:G31)</f>
        <v>215400</v>
      </c>
      <c r="H32" s="22" t="n">
        <f aca="false">SUM(H30:H31)</f>
        <v>215400</v>
      </c>
      <c r="I32" s="22" t="n">
        <f aca="false">SUM(I30:I31)</f>
        <v>0</v>
      </c>
      <c r="J32" s="23" t="n">
        <f aca="false">SUM(J30:J31)</f>
        <v>753900</v>
      </c>
    </row>
    <row r="34" customFormat="false" ht="15" hidden="false" customHeight="false" outlineLevel="0" collapsed="false">
      <c r="A34" s="4" t="s">
        <v>46</v>
      </c>
    </row>
    <row r="35" customFormat="false" ht="15" hidden="false" customHeight="false" outlineLevel="0" collapsed="false">
      <c r="A35" s="10"/>
      <c r="B35" s="10" t="s">
        <v>42</v>
      </c>
      <c r="C35" s="10"/>
      <c r="D35" s="10" t="s">
        <v>24</v>
      </c>
      <c r="E35" s="10" t="s">
        <v>25</v>
      </c>
      <c r="F35" s="10" t="s">
        <v>26</v>
      </c>
      <c r="G35" s="10" t="s">
        <v>27</v>
      </c>
      <c r="H35" s="10" t="s">
        <v>28</v>
      </c>
      <c r="I35" s="10" t="s">
        <v>29</v>
      </c>
      <c r="J35" s="10" t="s">
        <v>30</v>
      </c>
    </row>
    <row r="36" customFormat="false" ht="15" hidden="false" customHeight="false" outlineLevel="0" collapsed="false">
      <c r="B36" s="5" t="s">
        <v>47</v>
      </c>
      <c r="D36" s="24" t="n">
        <v>30000</v>
      </c>
      <c r="E36" s="24" t="n">
        <v>30000</v>
      </c>
      <c r="F36" s="24" t="n">
        <v>15000</v>
      </c>
      <c r="G36" s="24" t="n">
        <v>0</v>
      </c>
      <c r="H36" s="24" t="n">
        <v>0</v>
      </c>
      <c r="I36" s="24" t="n">
        <v>0</v>
      </c>
      <c r="J36" s="11" t="n">
        <f aca="false">SUM(D36:I36)</f>
        <v>75000</v>
      </c>
    </row>
    <row r="37" customFormat="false" ht="15" hidden="false" customHeight="false" outlineLevel="0" collapsed="false">
      <c r="B37" s="5" t="s">
        <v>48</v>
      </c>
      <c r="D37" s="24" t="n">
        <v>15000</v>
      </c>
      <c r="E37" s="24" t="n">
        <v>15000</v>
      </c>
      <c r="F37" s="24" t="n">
        <v>0</v>
      </c>
      <c r="G37" s="24" t="n">
        <v>0</v>
      </c>
      <c r="H37" s="24" t="n">
        <v>0</v>
      </c>
      <c r="I37" s="24" t="n">
        <v>0</v>
      </c>
      <c r="J37" s="11" t="n">
        <f aca="false">SUM(D37:I37)</f>
        <v>30000</v>
      </c>
    </row>
    <row r="38" customFormat="false" ht="15" hidden="false" customHeight="false" outlineLevel="0" collapsed="false">
      <c r="A38" s="20"/>
      <c r="B38" s="21" t="s">
        <v>49</v>
      </c>
      <c r="C38" s="20"/>
      <c r="D38" s="22" t="n">
        <f aca="false">SUM(D36:D37)</f>
        <v>45000</v>
      </c>
      <c r="E38" s="22" t="n">
        <f aca="false">SUM(E36:E37)</f>
        <v>45000</v>
      </c>
      <c r="F38" s="22" t="n">
        <f aca="false">SUM(F36:F37)</f>
        <v>15000</v>
      </c>
      <c r="G38" s="22" t="n">
        <f aca="false">SUM(G36:G37)</f>
        <v>0</v>
      </c>
      <c r="H38" s="22" t="n">
        <f aca="false">SUM(H36:H37)</f>
        <v>0</v>
      </c>
      <c r="I38" s="22" t="n">
        <f aca="false">SUM(I36:I37)</f>
        <v>0</v>
      </c>
      <c r="J38" s="23" t="n">
        <f aca="false">SUM(J36:J37)</f>
        <v>105000</v>
      </c>
    </row>
    <row r="40" customFormat="false" ht="15" hidden="false" customHeight="false" outlineLevel="0" collapsed="false">
      <c r="A40" s="4" t="s">
        <v>50</v>
      </c>
    </row>
    <row r="41" customFormat="false" ht="15" hidden="false" customHeight="false" outlineLevel="0" collapsed="false">
      <c r="A41" s="10"/>
      <c r="B41" s="10" t="s">
        <v>42</v>
      </c>
      <c r="C41" s="10"/>
      <c r="D41" s="10" t="s">
        <v>24</v>
      </c>
      <c r="E41" s="10" t="s">
        <v>25</v>
      </c>
      <c r="F41" s="10" t="s">
        <v>26</v>
      </c>
      <c r="G41" s="10" t="s">
        <v>27</v>
      </c>
      <c r="H41" s="10" t="s">
        <v>28</v>
      </c>
      <c r="I41" s="10" t="s">
        <v>29</v>
      </c>
      <c r="J41" s="10" t="s">
        <v>30</v>
      </c>
    </row>
    <row r="42" customFormat="false" ht="15" hidden="false" customHeight="false" outlineLevel="0" collapsed="false">
      <c r="B42" s="5" t="s">
        <v>51</v>
      </c>
      <c r="D42" s="24" t="n">
        <v>200000</v>
      </c>
      <c r="E42" s="24" t="n">
        <v>300000</v>
      </c>
      <c r="F42" s="24" t="n">
        <v>350000</v>
      </c>
      <c r="G42" s="24" t="n">
        <v>300000</v>
      </c>
      <c r="H42" s="24" t="n">
        <v>250000</v>
      </c>
      <c r="I42" s="24" t="n">
        <v>150000</v>
      </c>
      <c r="J42" s="11" t="n">
        <f aca="false">SUM(D42:I42)</f>
        <v>1550000</v>
      </c>
    </row>
    <row r="43" customFormat="false" ht="15" hidden="false" customHeight="false" outlineLevel="0" collapsed="false">
      <c r="A43" s="25"/>
      <c r="B43" s="17" t="s">
        <v>52</v>
      </c>
      <c r="C43" s="25"/>
      <c r="D43" s="24" t="n">
        <v>50000</v>
      </c>
      <c r="E43" s="24" t="n">
        <v>100000</v>
      </c>
      <c r="F43" s="24" t="n">
        <v>125000</v>
      </c>
      <c r="G43" s="24" t="n">
        <v>125000</v>
      </c>
      <c r="H43" s="24" t="n">
        <v>100000</v>
      </c>
      <c r="I43" s="24" t="n">
        <v>75000</v>
      </c>
      <c r="J43" s="19" t="n">
        <f aca="false">SUM(D43:I43)</f>
        <v>575000</v>
      </c>
    </row>
    <row r="44" customFormat="false" ht="15" hidden="false" customHeight="false" outlineLevel="0" collapsed="false">
      <c r="B44" s="5" t="s">
        <v>53</v>
      </c>
      <c r="D44" s="24" t="n">
        <v>50000</v>
      </c>
      <c r="E44" s="24" t="n">
        <v>75000</v>
      </c>
      <c r="F44" s="24" t="n">
        <v>75000</v>
      </c>
      <c r="G44" s="24" t="n">
        <v>75000</v>
      </c>
      <c r="H44" s="24" t="n">
        <v>50000</v>
      </c>
      <c r="I44" s="24" t="n">
        <v>25000</v>
      </c>
      <c r="J44" s="11" t="n">
        <f aca="false">SUM(D44:I44)</f>
        <v>350000</v>
      </c>
    </row>
    <row r="45" customFormat="false" ht="15" hidden="false" customHeight="false" outlineLevel="0" collapsed="false">
      <c r="A45" s="25"/>
      <c r="B45" s="17" t="s">
        <v>54</v>
      </c>
      <c r="C45" s="25"/>
      <c r="D45" s="24" t="n">
        <v>25000</v>
      </c>
      <c r="E45" s="24" t="n">
        <v>25000</v>
      </c>
      <c r="F45" s="24" t="n">
        <v>25000</v>
      </c>
      <c r="G45" s="24" t="n">
        <v>25000</v>
      </c>
      <c r="H45" s="24" t="n">
        <v>25000</v>
      </c>
      <c r="I45" s="24" t="n">
        <v>25000</v>
      </c>
      <c r="J45" s="19" t="n">
        <f aca="false">SUM(D45:I45)</f>
        <v>150000</v>
      </c>
    </row>
    <row r="46" customFormat="false" ht="15" hidden="false" customHeight="false" outlineLevel="0" collapsed="false">
      <c r="B46" s="5" t="s">
        <v>55</v>
      </c>
      <c r="D46" s="24" t="n">
        <v>0</v>
      </c>
      <c r="E46" s="24" t="n">
        <v>30000</v>
      </c>
      <c r="F46" s="24" t="n">
        <v>50000</v>
      </c>
      <c r="G46" s="24" t="n">
        <v>50000</v>
      </c>
      <c r="H46" s="24" t="n">
        <v>50000</v>
      </c>
      <c r="I46" s="24" t="n">
        <v>30000</v>
      </c>
      <c r="J46" s="11" t="n">
        <f aca="false">SUM(D46:I46)</f>
        <v>210000</v>
      </c>
    </row>
    <row r="47" customFormat="false" ht="15" hidden="false" customHeight="false" outlineLevel="0" collapsed="false">
      <c r="A47" s="25"/>
      <c r="B47" s="17" t="s">
        <v>56</v>
      </c>
      <c r="C47" s="25"/>
      <c r="D47" s="24" t="n">
        <v>0</v>
      </c>
      <c r="E47" s="24" t="n">
        <v>25000</v>
      </c>
      <c r="F47" s="24" t="n">
        <v>25000</v>
      </c>
      <c r="G47" s="24" t="n">
        <v>25000</v>
      </c>
      <c r="H47" s="24" t="n">
        <v>25000</v>
      </c>
      <c r="I47" s="24" t="n">
        <v>0</v>
      </c>
      <c r="J47" s="19" t="n">
        <f aca="false">SUM(D47:I47)</f>
        <v>100000</v>
      </c>
    </row>
    <row r="48" customFormat="false" ht="15" hidden="false" customHeight="false" outlineLevel="0" collapsed="false">
      <c r="A48" s="20"/>
      <c r="B48" s="21" t="s">
        <v>57</v>
      </c>
      <c r="C48" s="20"/>
      <c r="D48" s="22" t="n">
        <f aca="false">SUM(D42:D47)</f>
        <v>325000</v>
      </c>
      <c r="E48" s="22" t="n">
        <f aca="false">SUM(E42:E47)</f>
        <v>555000</v>
      </c>
      <c r="F48" s="22" t="n">
        <f aca="false">SUM(F42:F47)</f>
        <v>650000</v>
      </c>
      <c r="G48" s="22" t="n">
        <f aca="false">SUM(G42:G47)</f>
        <v>600000</v>
      </c>
      <c r="H48" s="22" t="n">
        <f aca="false">SUM(H42:H47)</f>
        <v>500000</v>
      </c>
      <c r="I48" s="22" t="n">
        <f aca="false">SUM(I42:I47)</f>
        <v>305000</v>
      </c>
      <c r="J48" s="23" t="n">
        <f aca="false">SUM(J42:J47)</f>
        <v>2935000</v>
      </c>
    </row>
    <row r="50" customFormat="false" ht="15" hidden="false" customHeight="false" outlineLevel="0" collapsed="false">
      <c r="A50" s="26"/>
      <c r="B50" s="27" t="s">
        <v>58</v>
      </c>
      <c r="C50" s="26"/>
      <c r="D50" s="28" t="n">
        <f aca="false">D26+D32+D38+D48</f>
        <v>370018</v>
      </c>
      <c r="E50" s="28" t="n">
        <f aca="false">E26+E32+E38+E48</f>
        <v>707741</v>
      </c>
      <c r="F50" s="28" t="n">
        <f aca="false">F26+F32+F38+F48</f>
        <v>880453</v>
      </c>
      <c r="G50" s="28" t="n">
        <f aca="false">G26+G32+G38+G48</f>
        <v>815442</v>
      </c>
      <c r="H50" s="28" t="n">
        <f aca="false">H26+H32+H38+H48</f>
        <v>715424</v>
      </c>
      <c r="I50" s="28" t="n">
        <f aca="false">I26+I32+I38+I48</f>
        <v>305014</v>
      </c>
      <c r="J50" s="29" t="n">
        <f aca="false">J26+J32+J38+J48</f>
        <v>12605799.9958701</v>
      </c>
    </row>
    <row r="51" customFormat="false" ht="15" hidden="false" customHeight="false" outlineLevel="0" collapsed="false">
      <c r="B51" s="30" t="s">
        <v>59</v>
      </c>
      <c r="J51" s="31" t="n">
        <f aca="false">$C$10-J50</f>
        <v>3394200.00412993</v>
      </c>
    </row>
    <row r="54" customFormat="false" ht="15" hidden="false" customHeight="false" outlineLevel="0" collapsed="false">
      <c r="A54" s="4" t="s">
        <v>60</v>
      </c>
    </row>
    <row r="55" customFormat="false" ht="15" hidden="false" customHeight="false" outlineLevel="0" collapsed="false">
      <c r="B55" s="5" t="s">
        <v>61</v>
      </c>
      <c r="D55" s="11" t="n">
        <f aca="false">J26</f>
        <v>8811899.99587007</v>
      </c>
    </row>
    <row r="56" customFormat="false" ht="15" hidden="false" customHeight="false" outlineLevel="0" collapsed="false">
      <c r="B56" s="5" t="s">
        <v>62</v>
      </c>
      <c r="D56" s="11" t="n">
        <f aca="false">J32</f>
        <v>753900</v>
      </c>
    </row>
    <row r="57" customFormat="false" ht="15" hidden="false" customHeight="false" outlineLevel="0" collapsed="false">
      <c r="B57" s="5" t="s">
        <v>63</v>
      </c>
      <c r="D57" s="11" t="n">
        <f aca="false">J38</f>
        <v>105000</v>
      </c>
    </row>
    <row r="58" customFormat="false" ht="15" hidden="false" customHeight="false" outlineLevel="0" collapsed="false">
      <c r="B58" s="5" t="s">
        <v>64</v>
      </c>
      <c r="D58" s="11" t="n">
        <f aca="false">J48</f>
        <v>2935000</v>
      </c>
    </row>
    <row r="59" customFormat="false" ht="15" hidden="false" customHeight="false" outlineLevel="0" collapsed="false">
      <c r="B59" s="32" t="s">
        <v>58</v>
      </c>
      <c r="C59" s="33"/>
      <c r="D59" s="34" t="n">
        <f aca="false">J50</f>
        <v>12605799.9958701</v>
      </c>
    </row>
    <row r="60" customFormat="false" ht="15" hidden="false" customHeight="false" outlineLevel="0" collapsed="false">
      <c r="B60" s="35" t="s">
        <v>65</v>
      </c>
      <c r="D60" s="36" t="n">
        <f aca="false">J50/$C$10</f>
        <v>0.78786249974188</v>
      </c>
    </row>
    <row r="63" customFormat="false" ht="15" hidden="false" customHeight="false" outlineLevel="0" collapsed="false">
      <c r="A63" s="4" t="s">
        <v>66</v>
      </c>
    </row>
    <row r="64" customFormat="false" ht="15" hidden="false" customHeight="false" outlineLevel="0" collapsed="false">
      <c r="B64" s="37"/>
      <c r="C64" s="37" t="s">
        <v>24</v>
      </c>
      <c r="D64" s="37"/>
      <c r="E64" s="37" t="s">
        <v>25</v>
      </c>
      <c r="F64" s="37"/>
      <c r="G64" s="37" t="s">
        <v>26</v>
      </c>
      <c r="H64" s="37"/>
      <c r="I64" s="37" t="s">
        <v>27</v>
      </c>
      <c r="J64" s="37"/>
      <c r="K64" s="37" t="s">
        <v>28</v>
      </c>
      <c r="L64" s="37"/>
      <c r="M64" s="37" t="s">
        <v>29</v>
      </c>
    </row>
    <row r="65" customFormat="false" ht="15" hidden="false" customHeight="false" outlineLevel="0" collapsed="false">
      <c r="B65" s="38" t="s">
        <v>67</v>
      </c>
      <c r="C65" s="38" t="s">
        <v>68</v>
      </c>
      <c r="D65" s="38"/>
      <c r="E65" s="38" t="s">
        <v>68</v>
      </c>
      <c r="F65" s="38"/>
      <c r="G65" s="38" t="s">
        <v>68</v>
      </c>
      <c r="H65" s="38"/>
      <c r="I65" s="38"/>
      <c r="J65" s="38"/>
      <c r="K65" s="38"/>
      <c r="L65" s="38"/>
      <c r="M65" s="38"/>
    </row>
    <row r="66" customFormat="false" ht="15" hidden="false" customHeight="false" outlineLevel="0" collapsed="false">
      <c r="B66" s="38" t="s">
        <v>69</v>
      </c>
      <c r="C66" s="38" t="s">
        <v>70</v>
      </c>
      <c r="D66" s="38"/>
      <c r="E66" s="38" t="s">
        <v>68</v>
      </c>
      <c r="F66" s="38"/>
      <c r="G66" s="38" t="s">
        <v>68</v>
      </c>
      <c r="H66" s="38"/>
      <c r="I66" s="38" t="s">
        <v>71</v>
      </c>
      <c r="J66" s="38"/>
      <c r="K66" s="38"/>
      <c r="L66" s="38"/>
      <c r="M66" s="38"/>
    </row>
    <row r="67" customFormat="false" ht="15" hidden="false" customHeight="false" outlineLevel="0" collapsed="false">
      <c r="B67" s="38" t="s">
        <v>72</v>
      </c>
      <c r="C67" s="38"/>
      <c r="D67" s="38"/>
      <c r="E67" s="38" t="s">
        <v>68</v>
      </c>
      <c r="F67" s="38"/>
      <c r="G67" s="38" t="s">
        <v>68</v>
      </c>
      <c r="H67" s="38"/>
      <c r="I67" s="38" t="s">
        <v>68</v>
      </c>
      <c r="J67" s="38"/>
      <c r="K67" s="38"/>
      <c r="L67" s="38"/>
      <c r="M67" s="38"/>
    </row>
    <row r="68" customFormat="false" ht="15" hidden="false" customHeight="false" outlineLevel="0" collapsed="false">
      <c r="B68" s="38" t="s">
        <v>73</v>
      </c>
      <c r="C68" s="38"/>
      <c r="D68" s="38"/>
      <c r="E68" s="38" t="s">
        <v>74</v>
      </c>
      <c r="F68" s="38" t="s">
        <v>75</v>
      </c>
      <c r="G68" s="38" t="s">
        <v>68</v>
      </c>
      <c r="H68" s="38" t="s">
        <v>75</v>
      </c>
      <c r="I68" s="38" t="s">
        <v>76</v>
      </c>
      <c r="J68" s="38" t="s">
        <v>77</v>
      </c>
      <c r="K68" s="38" t="s">
        <v>68</v>
      </c>
      <c r="L68" s="38" t="s">
        <v>78</v>
      </c>
      <c r="M68" s="38" t="s">
        <v>79</v>
      </c>
    </row>
    <row r="69" customFormat="false" ht="15" hidden="false" customHeight="false" outlineLevel="0" collapsed="false">
      <c r="B69" s="38" t="s">
        <v>80</v>
      </c>
      <c r="C69" s="38"/>
      <c r="D69" s="38"/>
      <c r="E69" s="38"/>
      <c r="F69" s="38"/>
      <c r="G69" s="38" t="s">
        <v>74</v>
      </c>
      <c r="H69" s="38"/>
      <c r="I69" s="38" t="s">
        <v>68</v>
      </c>
      <c r="J69" s="38"/>
      <c r="K69" s="38" t="s">
        <v>68</v>
      </c>
      <c r="L69" s="38"/>
      <c r="M69" s="38" t="s">
        <v>81</v>
      </c>
    </row>
    <row r="72" customFormat="false" ht="15" hidden="false" customHeight="false" outlineLevel="0" collapsed="false">
      <c r="A72" s="4" t="s">
        <v>82</v>
      </c>
    </row>
    <row r="73" customFormat="false" ht="15" hidden="false" customHeight="false" outlineLevel="0" collapsed="false">
      <c r="B73" s="7" t="s">
        <v>83</v>
      </c>
    </row>
    <row r="74" customFormat="false" ht="15" hidden="false" customHeight="false" outlineLevel="0" collapsed="false">
      <c r="B74" s="7" t="s">
        <v>84</v>
      </c>
    </row>
    <row r="75" customFormat="false" ht="15" hidden="false" customHeight="false" outlineLevel="0" collapsed="false">
      <c r="B75" s="7" t="s">
        <v>85</v>
      </c>
    </row>
    <row r="76" customFormat="false" ht="15" hidden="false" customHeight="false" outlineLevel="0" collapsed="false">
      <c r="B76" s="7" t="s">
        <v>86</v>
      </c>
    </row>
    <row r="77" customFormat="false" ht="15" hidden="false" customHeight="false" outlineLevel="0" collapsed="false">
      <c r="B77" s="7" t="s">
        <v>87</v>
      </c>
    </row>
    <row r="78" customFormat="false" ht="15" hidden="false" customHeight="false" outlineLevel="0" collapsed="false">
      <c r="B78" s="7" t="s">
        <v>88</v>
      </c>
    </row>
    <row r="79" customFormat="false" ht="15" hidden="false" customHeight="false" outlineLevel="0" collapsed="false">
      <c r="B79" s="7" t="s">
        <v>89</v>
      </c>
    </row>
    <row r="80" customFormat="false" ht="15" hidden="false" customHeight="false" outlineLevel="0" collapsed="false">
      <c r="B80" s="7" t="s">
        <v>90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2026-02-14T11:56:46Z</dcterms:created>
  <dc:creator>openpyxl</dc:creator>
  <dc:description/>
  <dc:language>en-US</dc:language>
  <cp:lastModifiedBy/>
  <dcterms:modified xsi:type="dcterms:W3CDTF">2026-02-14T11:56:46Z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