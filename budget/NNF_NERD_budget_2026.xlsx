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aarhusuniversitet-my.sharepoint.com/personal/au149384_uni_au_dk/Documents/MBG/Ansøgninger/2026/NNF/NERD/Kasper Munch/"/>
    </mc:Choice>
  </mc:AlternateContent>
  <xr:revisionPtr revIDLastSave="11" documentId="8_{D1BD3683-0EEE-044A-90DE-E1C044B07218}" xr6:coauthVersionLast="47" xr6:coauthVersionMax="47" xr10:uidLastSave="{BF336FB5-8526-294B-99EE-6BC4694B5F91}"/>
  <bookViews>
    <workbookView xWindow="-55220" yWindow="-3920" windowWidth="47220" windowHeight="25060" activeTab="1" xr2:uid="{D494D1E6-F797-4A73-AFC2-FF09A684A778}"/>
  </bookViews>
  <sheets>
    <sheet name="Guide" sheetId="14" r:id="rId1"/>
    <sheet name="AU" sheetId="4" r:id="rId2"/>
    <sheet name="ReAp" sheetId="20" state="hidden" r:id="rId3"/>
    <sheet name="Overview - AU" sheetId="19" r:id="rId4"/>
    <sheet name="For NORMA" sheetId="22" r:id="rId5"/>
    <sheet name="AU salary costs 2025" sheetId="8" r:id="rId6"/>
    <sheet name="Lists" sheetId="2" state="hidden" r:id="rId7"/>
  </sheets>
  <definedNames>
    <definedName name="AU_faculty_dep">AU_deps[#Headers]</definedName>
    <definedName name="BenchFeeFoundation">AU!$H$10</definedName>
    <definedName name="BenchFeePartner1">AU!$I$120</definedName>
    <definedName name="CoFinVIPCat">Lists!$N$34:$N$45</definedName>
    <definedName name="DateFormat">AU!$D$10</definedName>
    <definedName name="Dep_list">INDEX(AU_deps[],,MATCH(Faculty_AU,AU_faculty_dep,0))</definedName>
    <definedName name="DepPartner1">AU!$D$7</definedName>
    <definedName name="endDate">AU!$D$9</definedName>
    <definedName name="ExtrapolationFactorPartner1">IF(AND(DateFormat="Project years",AU!$F$12&lt;&gt;""),AU!$F$12,AU!$H$1)</definedName>
    <definedName name="Faculty_AU">AU!$D$6</definedName>
    <definedName name="FacultyPartner1">AU!$D$6</definedName>
    <definedName name="Foundation">AU!$D$12</definedName>
    <definedName name="Foundationdropdown">Lists!$W$2:$W$15</definedName>
    <definedName name="IfDay">IF(DATEDIF(startDate,endDate,"md")=1," day"," days")</definedName>
    <definedName name="IfMonth">IF(DATEDIF(startDate,endDate,"ym")=1," month"," months")</definedName>
    <definedName name="IfYear">IF(DATEDIF(startDate,endDate,"y")=1," year"," years")</definedName>
    <definedName name="Institutiondropdown">Lists!$A$2:$A$10</definedName>
    <definedName name="InstitutionPartner1">AU!$D$5</definedName>
    <definedName name="Nat_AU_deps">Lists!$C$36:$C$43</definedName>
    <definedName name="NNFDisseminationCosts">Lists!$Q$23:$Q$26</definedName>
    <definedName name="NNFOperationCosts">Lists!$Q$17:$Q$20</definedName>
    <definedName name="OHFoundation">Lists!$X$2:$X$15</definedName>
    <definedName name="OHPctCoFinancePartner1">AU!$F$163</definedName>
    <definedName name="OHPctPartner1">AU!$D$13</definedName>
    <definedName name="OHTerm">Lists!$Y$2:$Y$15</definedName>
    <definedName name="PhD_navn">Lists!$N$10</definedName>
    <definedName name="PLPartner1">AU!$D$11</definedName>
    <definedName name="Project_supplement_foundations">Lists!$W$18:$W$26</definedName>
    <definedName name="Project_supplement_institutions">Lists!$A$2:$A$9</definedName>
    <definedName name="ProjectCosts">Lists!$Q$2:$Q$13</definedName>
    <definedName name="ProjectSupplementPartner1">AU!$H$6</definedName>
    <definedName name="SalaryYearPartner1">AU!$H$2</definedName>
    <definedName name="SciAreaPartner1">AU!$D$6</definedName>
    <definedName name="startDate">AU!$D$8</definedName>
    <definedName name="TAPCat">Lists!$N$21:$N$31</definedName>
    <definedName name="TuitionFeePartner1">AU!$H$8</definedName>
    <definedName name="VIPCat">Lists!$N$2:$N$17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2" l="1"/>
  <c r="E12" i="2"/>
  <c r="E13" i="2"/>
  <c r="E14" i="2"/>
  <c r="E15" i="2"/>
  <c r="E16" i="2"/>
  <c r="E10" i="2"/>
  <c r="S37" i="19"/>
  <c r="T37" i="19"/>
  <c r="U37" i="19"/>
  <c r="V37" i="19"/>
  <c r="W37" i="19"/>
  <c r="X37" i="19"/>
  <c r="AC21" i="19"/>
  <c r="E26" i="8" l="1"/>
  <c r="D26" i="8"/>
  <c r="C26" i="8"/>
  <c r="E25" i="8"/>
  <c r="D25" i="8"/>
  <c r="C25" i="8"/>
  <c r="C183" i="4" l="1"/>
  <c r="B56" i="19"/>
  <c r="Q56" i="19" s="1"/>
  <c r="B39" i="19"/>
  <c r="Q39" i="19" s="1"/>
  <c r="B20" i="19"/>
  <c r="Q20" i="19" s="1"/>
  <c r="B3" i="19"/>
  <c r="Q3" i="19" s="1"/>
  <c r="B55" i="22" l="1"/>
  <c r="V58" i="22"/>
  <c r="V59" i="22"/>
  <c r="V60" i="22"/>
  <c r="V61" i="22"/>
  <c r="V62" i="22"/>
  <c r="V63" i="22"/>
  <c r="V57" i="22"/>
  <c r="T58" i="22"/>
  <c r="T59" i="22"/>
  <c r="T60" i="22"/>
  <c r="T61" i="22"/>
  <c r="T62" i="22"/>
  <c r="T63" i="22"/>
  <c r="T57" i="22"/>
  <c r="R58" i="22"/>
  <c r="R59" i="22"/>
  <c r="R60" i="22"/>
  <c r="R61" i="22"/>
  <c r="R62" i="22"/>
  <c r="R63" i="22"/>
  <c r="R57" i="22"/>
  <c r="P58" i="22"/>
  <c r="P59" i="22"/>
  <c r="P60" i="22"/>
  <c r="P61" i="22"/>
  <c r="P62" i="22"/>
  <c r="P63" i="22"/>
  <c r="P57" i="22"/>
  <c r="N58" i="22"/>
  <c r="N59" i="22"/>
  <c r="N60" i="22"/>
  <c r="N61" i="22"/>
  <c r="N62" i="22"/>
  <c r="N63" i="22"/>
  <c r="N57" i="22"/>
  <c r="L57" i="22"/>
  <c r="L58" i="22"/>
  <c r="L59" i="22"/>
  <c r="L60" i="22"/>
  <c r="L61" i="22"/>
  <c r="L62" i="22"/>
  <c r="L63" i="22"/>
  <c r="N40" i="22"/>
  <c r="P40" i="22"/>
  <c r="R40" i="22"/>
  <c r="T40" i="22"/>
  <c r="V40" i="22"/>
  <c r="N41" i="22"/>
  <c r="P41" i="22"/>
  <c r="R41" i="22"/>
  <c r="T41" i="22"/>
  <c r="V41" i="22"/>
  <c r="N42" i="22"/>
  <c r="P42" i="22"/>
  <c r="R42" i="22"/>
  <c r="T42" i="22"/>
  <c r="V42" i="22"/>
  <c r="N43" i="22"/>
  <c r="P43" i="22"/>
  <c r="R43" i="22"/>
  <c r="T43" i="22"/>
  <c r="V43" i="22"/>
  <c r="N44" i="22"/>
  <c r="P44" i="22"/>
  <c r="R44" i="22"/>
  <c r="T44" i="22"/>
  <c r="V44" i="22"/>
  <c r="N45" i="22"/>
  <c r="P45" i="22"/>
  <c r="R45" i="22"/>
  <c r="T45" i="22"/>
  <c r="V45" i="22"/>
  <c r="N46" i="22"/>
  <c r="P46" i="22"/>
  <c r="R46" i="22"/>
  <c r="T46" i="22"/>
  <c r="V46" i="22"/>
  <c r="N47" i="22"/>
  <c r="P47" i="22"/>
  <c r="R47" i="22"/>
  <c r="T47" i="22"/>
  <c r="V47" i="22"/>
  <c r="N48" i="22"/>
  <c r="P48" i="22"/>
  <c r="R48" i="22"/>
  <c r="T48" i="22"/>
  <c r="V48" i="22"/>
  <c r="N49" i="22"/>
  <c r="P49" i="22"/>
  <c r="R49" i="22"/>
  <c r="T49" i="22"/>
  <c r="V49" i="22"/>
  <c r="N50" i="22"/>
  <c r="P50" i="22"/>
  <c r="R50" i="22"/>
  <c r="T50" i="22"/>
  <c r="V50" i="22"/>
  <c r="N51" i="22"/>
  <c r="P51" i="22"/>
  <c r="R51" i="22"/>
  <c r="T51" i="22"/>
  <c r="V51" i="22"/>
  <c r="N52" i="22"/>
  <c r="P52" i="22"/>
  <c r="R52" i="22"/>
  <c r="T52" i="22"/>
  <c r="V52" i="22"/>
  <c r="N53" i="22"/>
  <c r="P53" i="22"/>
  <c r="R53" i="22"/>
  <c r="T53" i="22"/>
  <c r="V53" i="22"/>
  <c r="N54" i="22"/>
  <c r="P54" i="22"/>
  <c r="R54" i="22"/>
  <c r="T54" i="22"/>
  <c r="V54" i="22"/>
  <c r="V39" i="22"/>
  <c r="T39" i="22"/>
  <c r="R39" i="22"/>
  <c r="P39" i="22"/>
  <c r="N39" i="22"/>
  <c r="C55" i="22"/>
  <c r="B54" i="22"/>
  <c r="C54" i="22"/>
  <c r="D54" i="22"/>
  <c r="F54" i="22"/>
  <c r="H54" i="22"/>
  <c r="J54" i="22"/>
  <c r="L54" i="22"/>
  <c r="B58" i="22"/>
  <c r="C58" i="22"/>
  <c r="D58" i="22"/>
  <c r="F58" i="22"/>
  <c r="H58" i="22"/>
  <c r="J58" i="22"/>
  <c r="B59" i="22"/>
  <c r="C59" i="22"/>
  <c r="D59" i="22"/>
  <c r="F59" i="22"/>
  <c r="H59" i="22"/>
  <c r="J59" i="22"/>
  <c r="B60" i="22"/>
  <c r="C60" i="22"/>
  <c r="D60" i="22"/>
  <c r="F60" i="22"/>
  <c r="H60" i="22"/>
  <c r="J60" i="22"/>
  <c r="B61" i="22"/>
  <c r="C61" i="22"/>
  <c r="D61" i="22"/>
  <c r="F61" i="22"/>
  <c r="H61" i="22"/>
  <c r="J61" i="22"/>
  <c r="B62" i="22"/>
  <c r="C62" i="22"/>
  <c r="D62" i="22"/>
  <c r="F62" i="22"/>
  <c r="H62" i="22"/>
  <c r="J62" i="22"/>
  <c r="B63" i="22"/>
  <c r="C63" i="22"/>
  <c r="D63" i="22"/>
  <c r="F63" i="22"/>
  <c r="H63" i="22"/>
  <c r="J63" i="22"/>
  <c r="B64" i="22"/>
  <c r="C64" i="22"/>
  <c r="B57" i="22"/>
  <c r="C57" i="22"/>
  <c r="D57" i="22"/>
  <c r="F57" i="22"/>
  <c r="H57" i="22"/>
  <c r="J57" i="22"/>
  <c r="B49" i="22"/>
  <c r="C49" i="22"/>
  <c r="D49" i="22"/>
  <c r="F49" i="22"/>
  <c r="H49" i="22"/>
  <c r="J49" i="22"/>
  <c r="L49" i="22"/>
  <c r="B50" i="22"/>
  <c r="C50" i="22"/>
  <c r="D50" i="22"/>
  <c r="F50" i="22"/>
  <c r="H50" i="22"/>
  <c r="J50" i="22"/>
  <c r="L50" i="22"/>
  <c r="B51" i="22"/>
  <c r="C51" i="22"/>
  <c r="D51" i="22"/>
  <c r="F51" i="22"/>
  <c r="H51" i="22"/>
  <c r="J51" i="22"/>
  <c r="L51" i="22"/>
  <c r="B52" i="22"/>
  <c r="C52" i="22"/>
  <c r="D52" i="22"/>
  <c r="F52" i="22"/>
  <c r="H52" i="22"/>
  <c r="J52" i="22"/>
  <c r="L52" i="22"/>
  <c r="B53" i="22"/>
  <c r="C53" i="22"/>
  <c r="D53" i="22"/>
  <c r="F53" i="22"/>
  <c r="H53" i="22"/>
  <c r="J53" i="22"/>
  <c r="L53" i="22"/>
  <c r="B40" i="22"/>
  <c r="C40" i="22"/>
  <c r="D40" i="22"/>
  <c r="F40" i="22"/>
  <c r="H40" i="22"/>
  <c r="J40" i="22"/>
  <c r="L40" i="22"/>
  <c r="B41" i="22"/>
  <c r="C41" i="22"/>
  <c r="D41" i="22"/>
  <c r="F41" i="22"/>
  <c r="H41" i="22"/>
  <c r="J41" i="22"/>
  <c r="L41" i="22"/>
  <c r="B42" i="22"/>
  <c r="C42" i="22"/>
  <c r="D42" i="22"/>
  <c r="F42" i="22"/>
  <c r="H42" i="22"/>
  <c r="J42" i="22"/>
  <c r="L42" i="22"/>
  <c r="B43" i="22"/>
  <c r="C43" i="22"/>
  <c r="D43" i="22"/>
  <c r="F43" i="22"/>
  <c r="H43" i="22"/>
  <c r="J43" i="22"/>
  <c r="L43" i="22"/>
  <c r="B44" i="22"/>
  <c r="C44" i="22"/>
  <c r="D44" i="22"/>
  <c r="F44" i="22"/>
  <c r="H44" i="22"/>
  <c r="J44" i="22"/>
  <c r="L44" i="22"/>
  <c r="B45" i="22"/>
  <c r="C45" i="22"/>
  <c r="D45" i="22"/>
  <c r="F45" i="22"/>
  <c r="H45" i="22"/>
  <c r="J45" i="22"/>
  <c r="L45" i="22"/>
  <c r="B46" i="22"/>
  <c r="C46" i="22"/>
  <c r="D46" i="22"/>
  <c r="F46" i="22"/>
  <c r="H46" i="22"/>
  <c r="J46" i="22"/>
  <c r="L46" i="22"/>
  <c r="B47" i="22"/>
  <c r="C47" i="22"/>
  <c r="D47" i="22"/>
  <c r="F47" i="22"/>
  <c r="H47" i="22"/>
  <c r="J47" i="22"/>
  <c r="L47" i="22"/>
  <c r="B48" i="22"/>
  <c r="C48" i="22"/>
  <c r="D48" i="22"/>
  <c r="F48" i="22"/>
  <c r="H48" i="22"/>
  <c r="J48" i="22"/>
  <c r="L48" i="22"/>
  <c r="L39" i="22"/>
  <c r="J39" i="22"/>
  <c r="H39" i="22"/>
  <c r="F39" i="22"/>
  <c r="D39" i="22"/>
  <c r="C39" i="22"/>
  <c r="B39" i="22"/>
  <c r="B23" i="22"/>
  <c r="C23" i="22"/>
  <c r="B24" i="22"/>
  <c r="C24" i="22"/>
  <c r="B25" i="22"/>
  <c r="C25" i="22"/>
  <c r="B26" i="22"/>
  <c r="C26" i="22"/>
  <c r="B27" i="22"/>
  <c r="C27" i="22"/>
  <c r="B28" i="22"/>
  <c r="C28" i="22"/>
  <c r="B29" i="22"/>
  <c r="C29" i="22"/>
  <c r="B30" i="22"/>
  <c r="C30" i="22"/>
  <c r="B31" i="22"/>
  <c r="C31" i="22"/>
  <c r="B32" i="22"/>
  <c r="C32" i="22"/>
  <c r="B33" i="22"/>
  <c r="C33" i="22"/>
  <c r="B34" i="22"/>
  <c r="C34" i="22"/>
  <c r="B35" i="22"/>
  <c r="C35" i="22"/>
  <c r="B36" i="22"/>
  <c r="C36" i="22"/>
  <c r="B37" i="22"/>
  <c r="C37" i="22"/>
  <c r="C22" i="22"/>
  <c r="B22" i="22"/>
  <c r="B13" i="22"/>
  <c r="C13" i="22"/>
  <c r="B14" i="22"/>
  <c r="C14" i="22"/>
  <c r="B15" i="22"/>
  <c r="C15" i="22"/>
  <c r="B16" i="22"/>
  <c r="C16" i="22"/>
  <c r="B17" i="22"/>
  <c r="C17" i="22"/>
  <c r="B18" i="22"/>
  <c r="C18" i="22"/>
  <c r="B19" i="22"/>
  <c r="C19" i="22"/>
  <c r="B20" i="22"/>
  <c r="C20" i="22"/>
  <c r="B6" i="22"/>
  <c r="C6" i="22"/>
  <c r="B7" i="22"/>
  <c r="C7" i="22"/>
  <c r="B8" i="22"/>
  <c r="C8" i="22"/>
  <c r="B9" i="22"/>
  <c r="C9" i="22"/>
  <c r="B10" i="22"/>
  <c r="C10" i="22"/>
  <c r="B11" i="22"/>
  <c r="C11" i="22"/>
  <c r="B12" i="22"/>
  <c r="C12" i="22"/>
  <c r="C5" i="22"/>
  <c r="B5" i="22"/>
  <c r="B75" i="19" l="1"/>
  <c r="Q75" i="19" s="1"/>
  <c r="B2" i="22"/>
  <c r="C21" i="22"/>
  <c r="O20" i="2"/>
  <c r="F183" i="4" l="1"/>
  <c r="H10" i="4"/>
  <c r="B13" i="4" l="1"/>
  <c r="C163" i="4" s="1"/>
  <c r="D13" i="4"/>
  <c r="C156" i="4" l="1"/>
  <c r="I120" i="4"/>
  <c r="C101" i="19" l="1"/>
  <c r="R101" i="19" l="1"/>
  <c r="C100" i="19"/>
  <c r="F9" i="4" l="1"/>
  <c r="B101" i="19"/>
  <c r="Q101" i="19"/>
  <c r="Q100" i="19"/>
  <c r="B100" i="19"/>
  <c r="H8" i="4" l="1"/>
  <c r="B6" i="4"/>
  <c r="AM36" i="4" l="1"/>
  <c r="Q78" i="19" l="1"/>
  <c r="R78" i="19"/>
  <c r="S78" i="19"/>
  <c r="T78" i="19"/>
  <c r="U78" i="19"/>
  <c r="V78" i="19"/>
  <c r="W78" i="19"/>
  <c r="X78" i="19"/>
  <c r="Y78" i="19"/>
  <c r="Z78" i="19"/>
  <c r="AA78" i="19"/>
  <c r="AB78" i="19"/>
  <c r="Q79" i="19"/>
  <c r="R79" i="19"/>
  <c r="S79" i="19"/>
  <c r="T79" i="19"/>
  <c r="U79" i="19"/>
  <c r="V79" i="19"/>
  <c r="W79" i="19"/>
  <c r="X79" i="19"/>
  <c r="Y79" i="19"/>
  <c r="Z79" i="19"/>
  <c r="AA79" i="19"/>
  <c r="AB79" i="19"/>
  <c r="Q80" i="19"/>
  <c r="R80" i="19"/>
  <c r="S80" i="19"/>
  <c r="T80" i="19"/>
  <c r="U80" i="19"/>
  <c r="V80" i="19"/>
  <c r="W80" i="19"/>
  <c r="X80" i="19"/>
  <c r="Y80" i="19"/>
  <c r="Z80" i="19"/>
  <c r="AA80" i="19"/>
  <c r="AB80" i="19"/>
  <c r="Q81" i="19"/>
  <c r="R81" i="19"/>
  <c r="S81" i="19"/>
  <c r="T81" i="19"/>
  <c r="U81" i="19"/>
  <c r="V81" i="19"/>
  <c r="W81" i="19"/>
  <c r="X81" i="19"/>
  <c r="Y81" i="19"/>
  <c r="Z81" i="19"/>
  <c r="AA81" i="19"/>
  <c r="AB81" i="19"/>
  <c r="Q82" i="19"/>
  <c r="R82" i="19"/>
  <c r="S82" i="19"/>
  <c r="T82" i="19"/>
  <c r="U82" i="19"/>
  <c r="V82" i="19"/>
  <c r="W82" i="19"/>
  <c r="X82" i="19"/>
  <c r="Y82" i="19"/>
  <c r="Z82" i="19"/>
  <c r="AA82" i="19"/>
  <c r="AB82" i="19"/>
  <c r="Q83" i="19"/>
  <c r="R83" i="19"/>
  <c r="S83" i="19"/>
  <c r="T83" i="19"/>
  <c r="U83" i="19"/>
  <c r="V83" i="19"/>
  <c r="W83" i="19"/>
  <c r="X83" i="19"/>
  <c r="Y83" i="19"/>
  <c r="Z83" i="19"/>
  <c r="AA83" i="19"/>
  <c r="AB83" i="19"/>
  <c r="Q84" i="19"/>
  <c r="R84" i="19"/>
  <c r="S84" i="19"/>
  <c r="T84" i="19"/>
  <c r="U84" i="19"/>
  <c r="V84" i="19"/>
  <c r="W84" i="19"/>
  <c r="X84" i="19"/>
  <c r="Y84" i="19"/>
  <c r="Z84" i="19"/>
  <c r="AA84" i="19"/>
  <c r="AB84" i="19"/>
  <c r="Q85" i="19"/>
  <c r="R85" i="19"/>
  <c r="S85" i="19"/>
  <c r="T85" i="19"/>
  <c r="U85" i="19"/>
  <c r="V85" i="19"/>
  <c r="W85" i="19"/>
  <c r="X85" i="19"/>
  <c r="Y85" i="19"/>
  <c r="Z85" i="19"/>
  <c r="AA85" i="19"/>
  <c r="AB85" i="19"/>
  <c r="Q86" i="19"/>
  <c r="R86" i="19"/>
  <c r="S86" i="19"/>
  <c r="T86" i="19"/>
  <c r="U86" i="19"/>
  <c r="V86" i="19"/>
  <c r="W86" i="19"/>
  <c r="X86" i="19"/>
  <c r="Y86" i="19"/>
  <c r="Z86" i="19"/>
  <c r="AA86" i="19"/>
  <c r="AB86" i="19"/>
  <c r="Q87" i="19"/>
  <c r="R87" i="19"/>
  <c r="S87" i="19"/>
  <c r="T87" i="19"/>
  <c r="U87" i="19"/>
  <c r="V87" i="19"/>
  <c r="W87" i="19"/>
  <c r="X87" i="19"/>
  <c r="Y87" i="19"/>
  <c r="Z87" i="19"/>
  <c r="AA87" i="19"/>
  <c r="AB87" i="19"/>
  <c r="Q88" i="19"/>
  <c r="R88" i="19"/>
  <c r="S88" i="19"/>
  <c r="T88" i="19"/>
  <c r="U88" i="19"/>
  <c r="V88" i="19"/>
  <c r="W88" i="19"/>
  <c r="X88" i="19"/>
  <c r="Y88" i="19"/>
  <c r="Z88" i="19"/>
  <c r="AA88" i="19"/>
  <c r="AB88" i="19"/>
  <c r="Q89" i="19"/>
  <c r="R89" i="19"/>
  <c r="S89" i="19"/>
  <c r="T89" i="19"/>
  <c r="U89" i="19"/>
  <c r="V89" i="19"/>
  <c r="W89" i="19"/>
  <c r="X89" i="19"/>
  <c r="Y89" i="19"/>
  <c r="Z89" i="19"/>
  <c r="AA89" i="19"/>
  <c r="AB89" i="19"/>
  <c r="Q90" i="19"/>
  <c r="R90" i="19"/>
  <c r="S90" i="19"/>
  <c r="T90" i="19"/>
  <c r="U90" i="19"/>
  <c r="V90" i="19"/>
  <c r="W90" i="19"/>
  <c r="X90" i="19"/>
  <c r="Y90" i="19"/>
  <c r="Z90" i="19"/>
  <c r="AA90" i="19"/>
  <c r="AB90" i="19"/>
  <c r="Q91" i="19"/>
  <c r="R91" i="19"/>
  <c r="S91" i="19"/>
  <c r="T91" i="19"/>
  <c r="U91" i="19"/>
  <c r="V91" i="19"/>
  <c r="W91" i="19"/>
  <c r="X91" i="19"/>
  <c r="Y91" i="19"/>
  <c r="Z91" i="19"/>
  <c r="AA91" i="19"/>
  <c r="AB91" i="19"/>
  <c r="Y92" i="19"/>
  <c r="Z92" i="19"/>
  <c r="AA92" i="19"/>
  <c r="AB92" i="19"/>
  <c r="Q93" i="19"/>
  <c r="R93" i="19"/>
  <c r="S93" i="19"/>
  <c r="T93" i="19"/>
  <c r="U93" i="19"/>
  <c r="V93" i="19"/>
  <c r="W93" i="19"/>
  <c r="X93" i="19"/>
  <c r="Y93" i="19"/>
  <c r="Z93" i="19"/>
  <c r="AA93" i="19"/>
  <c r="AB93" i="19"/>
  <c r="Q94" i="19"/>
  <c r="R94" i="19"/>
  <c r="S94" i="19"/>
  <c r="T94" i="19"/>
  <c r="U94" i="19"/>
  <c r="V94" i="19"/>
  <c r="W94" i="19"/>
  <c r="X94" i="19"/>
  <c r="Y94" i="19"/>
  <c r="Z94" i="19"/>
  <c r="AA94" i="19"/>
  <c r="AB94" i="19"/>
  <c r="Q95" i="19"/>
  <c r="R95" i="19"/>
  <c r="S95" i="19"/>
  <c r="T95" i="19"/>
  <c r="U95" i="19"/>
  <c r="V95" i="19"/>
  <c r="W95" i="19"/>
  <c r="X95" i="19"/>
  <c r="Y95" i="19"/>
  <c r="Z95" i="19"/>
  <c r="AA95" i="19"/>
  <c r="AB95" i="19"/>
  <c r="Q96" i="19"/>
  <c r="R96" i="19"/>
  <c r="S96" i="19"/>
  <c r="T96" i="19"/>
  <c r="U96" i="19"/>
  <c r="V96" i="19"/>
  <c r="W96" i="19"/>
  <c r="X96" i="19"/>
  <c r="Y96" i="19"/>
  <c r="Z96" i="19"/>
  <c r="AA96" i="19"/>
  <c r="AB96" i="19"/>
  <c r="Q97" i="19"/>
  <c r="R97" i="19"/>
  <c r="S97" i="19"/>
  <c r="T97" i="19"/>
  <c r="U97" i="19"/>
  <c r="V97" i="19"/>
  <c r="W97" i="19"/>
  <c r="X97" i="19"/>
  <c r="Y97" i="19"/>
  <c r="Z97" i="19"/>
  <c r="AA97" i="19"/>
  <c r="AB97" i="19"/>
  <c r="Q98" i="19"/>
  <c r="R98" i="19"/>
  <c r="S98" i="19"/>
  <c r="T98" i="19"/>
  <c r="U98" i="19"/>
  <c r="V98" i="19"/>
  <c r="W98" i="19"/>
  <c r="X98" i="19"/>
  <c r="Y98" i="19"/>
  <c r="Z98" i="19"/>
  <c r="AA98" i="19"/>
  <c r="AB98" i="19"/>
  <c r="Q99" i="19"/>
  <c r="R99" i="19"/>
  <c r="S99" i="19"/>
  <c r="T99" i="19"/>
  <c r="U99" i="19"/>
  <c r="V99" i="19"/>
  <c r="W99" i="19"/>
  <c r="X99" i="19"/>
  <c r="Y99" i="19"/>
  <c r="Z99" i="19"/>
  <c r="AA99" i="19"/>
  <c r="AB99" i="19"/>
  <c r="R100" i="19"/>
  <c r="AC89" i="19" l="1"/>
  <c r="AC88" i="19"/>
  <c r="AC97" i="19"/>
  <c r="AC94" i="19"/>
  <c r="AC91" i="19"/>
  <c r="AC84" i="19"/>
  <c r="AC81" i="19"/>
  <c r="AC78" i="19"/>
  <c r="AC99" i="19"/>
  <c r="AC98" i="19"/>
  <c r="AC96" i="19"/>
  <c r="AC95" i="19"/>
  <c r="AC93" i="19"/>
  <c r="AC90" i="19"/>
  <c r="AC87" i="19"/>
  <c r="AC86" i="19"/>
  <c r="AC85" i="19"/>
  <c r="AC83" i="19"/>
  <c r="AC82" i="19"/>
  <c r="AC80" i="19"/>
  <c r="AC79" i="19"/>
  <c r="R58" i="19"/>
  <c r="R59" i="19"/>
  <c r="R60" i="19"/>
  <c r="R61" i="19"/>
  <c r="R62" i="19"/>
  <c r="R63" i="19"/>
  <c r="R64" i="19"/>
  <c r="R65" i="19"/>
  <c r="R66" i="19"/>
  <c r="R67" i="19"/>
  <c r="R68" i="19"/>
  <c r="R69" i="19"/>
  <c r="R70" i="19"/>
  <c r="R71" i="19"/>
  <c r="R72" i="19"/>
  <c r="R57" i="19"/>
  <c r="Q58" i="19"/>
  <c r="Q59" i="19"/>
  <c r="Q60" i="19"/>
  <c r="Q61" i="19"/>
  <c r="Q62" i="19"/>
  <c r="Q63" i="19"/>
  <c r="Q64" i="19"/>
  <c r="Q65" i="19"/>
  <c r="Q66" i="19"/>
  <c r="Q67" i="19"/>
  <c r="Q68" i="19"/>
  <c r="Q69" i="19"/>
  <c r="Q70" i="19"/>
  <c r="Q71" i="19"/>
  <c r="Q72" i="19"/>
  <c r="Q57" i="19"/>
  <c r="Q22" i="19"/>
  <c r="R22" i="19"/>
  <c r="S22" i="19"/>
  <c r="T22" i="19"/>
  <c r="U22" i="19"/>
  <c r="V22" i="19"/>
  <c r="W22" i="19"/>
  <c r="X22" i="19"/>
  <c r="Y22" i="19"/>
  <c r="Z22" i="19"/>
  <c r="AA22" i="19"/>
  <c r="AB22" i="19"/>
  <c r="Q23" i="19"/>
  <c r="R23" i="19"/>
  <c r="S23" i="19"/>
  <c r="T23" i="19"/>
  <c r="U23" i="19"/>
  <c r="V23" i="19"/>
  <c r="W23" i="19"/>
  <c r="X23" i="19"/>
  <c r="Y23" i="19"/>
  <c r="Z23" i="19"/>
  <c r="AA23" i="19"/>
  <c r="AB23" i="19"/>
  <c r="Q24" i="19"/>
  <c r="R24" i="19"/>
  <c r="S24" i="19"/>
  <c r="T24" i="19"/>
  <c r="U24" i="19"/>
  <c r="V24" i="19"/>
  <c r="W24" i="19"/>
  <c r="X24" i="19"/>
  <c r="Y24" i="19"/>
  <c r="Z24" i="19"/>
  <c r="AA24" i="19"/>
  <c r="AB24" i="19"/>
  <c r="Q25" i="19"/>
  <c r="R25" i="19"/>
  <c r="S25" i="19"/>
  <c r="T25" i="19"/>
  <c r="U25" i="19"/>
  <c r="V25" i="19"/>
  <c r="W25" i="19"/>
  <c r="X25" i="19"/>
  <c r="Y25" i="19"/>
  <c r="Z25" i="19"/>
  <c r="AA25" i="19"/>
  <c r="AB25" i="19"/>
  <c r="Q26" i="19"/>
  <c r="R26" i="19"/>
  <c r="S26" i="19"/>
  <c r="T26" i="19"/>
  <c r="U26" i="19"/>
  <c r="V26" i="19"/>
  <c r="W26" i="19"/>
  <c r="X26" i="19"/>
  <c r="Y26" i="19"/>
  <c r="Z26" i="19"/>
  <c r="AA26" i="19"/>
  <c r="AB26" i="19"/>
  <c r="Q27" i="19"/>
  <c r="R27" i="19"/>
  <c r="S27" i="19"/>
  <c r="T27" i="19"/>
  <c r="U27" i="19"/>
  <c r="V27" i="19"/>
  <c r="W27" i="19"/>
  <c r="X27" i="19"/>
  <c r="Y27" i="19"/>
  <c r="Z27" i="19"/>
  <c r="AA27" i="19"/>
  <c r="AB27" i="19"/>
  <c r="Q28" i="19"/>
  <c r="R28" i="19"/>
  <c r="S28" i="19"/>
  <c r="T28" i="19"/>
  <c r="U28" i="19"/>
  <c r="V28" i="19"/>
  <c r="W28" i="19"/>
  <c r="X28" i="19"/>
  <c r="Y28" i="19"/>
  <c r="Z28" i="19"/>
  <c r="AA28" i="19"/>
  <c r="AB28" i="19"/>
  <c r="Q29" i="19"/>
  <c r="R29" i="19"/>
  <c r="S29" i="19"/>
  <c r="T29" i="19"/>
  <c r="U29" i="19"/>
  <c r="V29" i="19"/>
  <c r="W29" i="19"/>
  <c r="X29" i="19"/>
  <c r="Y29" i="19"/>
  <c r="Z29" i="19"/>
  <c r="AA29" i="19"/>
  <c r="AB29" i="19"/>
  <c r="Q30" i="19"/>
  <c r="R30" i="19"/>
  <c r="S30" i="19"/>
  <c r="T30" i="19"/>
  <c r="U30" i="19"/>
  <c r="V30" i="19"/>
  <c r="W30" i="19"/>
  <c r="X30" i="19"/>
  <c r="Y30" i="19"/>
  <c r="Z30" i="19"/>
  <c r="AA30" i="19"/>
  <c r="AB30" i="19"/>
  <c r="Q31" i="19"/>
  <c r="R31" i="19"/>
  <c r="S31" i="19"/>
  <c r="T31" i="19"/>
  <c r="U31" i="19"/>
  <c r="V31" i="19"/>
  <c r="W31" i="19"/>
  <c r="X31" i="19"/>
  <c r="Y31" i="19"/>
  <c r="Z31" i="19"/>
  <c r="AA31" i="19"/>
  <c r="AB31" i="19"/>
  <c r="Q32" i="19"/>
  <c r="R32" i="19"/>
  <c r="S32" i="19"/>
  <c r="T32" i="19"/>
  <c r="U32" i="19"/>
  <c r="V32" i="19"/>
  <c r="W32" i="19"/>
  <c r="X32" i="19"/>
  <c r="Y32" i="19"/>
  <c r="Z32" i="19"/>
  <c r="AA32" i="19"/>
  <c r="AB32" i="19"/>
  <c r="Q33" i="19"/>
  <c r="R33" i="19"/>
  <c r="S33" i="19"/>
  <c r="T33" i="19"/>
  <c r="U33" i="19"/>
  <c r="V33" i="19"/>
  <c r="W33" i="19"/>
  <c r="X33" i="19"/>
  <c r="Y33" i="19"/>
  <c r="Z33" i="19"/>
  <c r="AA33" i="19"/>
  <c r="AB33" i="19"/>
  <c r="Q34" i="19"/>
  <c r="R34" i="19"/>
  <c r="S34" i="19"/>
  <c r="T34" i="19"/>
  <c r="U34" i="19"/>
  <c r="V34" i="19"/>
  <c r="W34" i="19"/>
  <c r="X34" i="19"/>
  <c r="Y34" i="19"/>
  <c r="Z34" i="19"/>
  <c r="AA34" i="19"/>
  <c r="AB34" i="19"/>
  <c r="Q35" i="19"/>
  <c r="R35" i="19"/>
  <c r="S35" i="19"/>
  <c r="T35" i="19"/>
  <c r="U35" i="19"/>
  <c r="V35" i="19"/>
  <c r="W35" i="19"/>
  <c r="X35" i="19"/>
  <c r="Y35" i="19"/>
  <c r="Z35" i="19"/>
  <c r="AA35" i="19"/>
  <c r="AB35" i="19"/>
  <c r="Q36" i="19"/>
  <c r="R36" i="19"/>
  <c r="S36" i="19"/>
  <c r="T36" i="19"/>
  <c r="U36" i="19"/>
  <c r="V36" i="19"/>
  <c r="W36" i="19"/>
  <c r="X36" i="19"/>
  <c r="Y36" i="19"/>
  <c r="Z36" i="19"/>
  <c r="AA36" i="19"/>
  <c r="AB36" i="19"/>
  <c r="AB21" i="19"/>
  <c r="AA21" i="19"/>
  <c r="Z21" i="19"/>
  <c r="Y21" i="19"/>
  <c r="X21" i="19"/>
  <c r="W21" i="19"/>
  <c r="V21" i="19"/>
  <c r="U21" i="19"/>
  <c r="T21" i="19"/>
  <c r="S21" i="19"/>
  <c r="R21" i="19"/>
  <c r="Q21" i="19"/>
  <c r="Q43" i="19"/>
  <c r="R43" i="19"/>
  <c r="Q44" i="19"/>
  <c r="R44" i="19"/>
  <c r="Q45" i="19"/>
  <c r="R45" i="19"/>
  <c r="Q46" i="19"/>
  <c r="R46" i="19"/>
  <c r="Q47" i="19"/>
  <c r="R47" i="19"/>
  <c r="Q48" i="19"/>
  <c r="R48" i="19"/>
  <c r="Q49" i="19"/>
  <c r="R49" i="19"/>
  <c r="Q50" i="19"/>
  <c r="R50" i="19"/>
  <c r="Q51" i="19"/>
  <c r="R51" i="19"/>
  <c r="Q52" i="19"/>
  <c r="R52" i="19"/>
  <c r="Q53" i="19"/>
  <c r="R53" i="19"/>
  <c r="Q54" i="19"/>
  <c r="R54" i="19"/>
  <c r="Q55" i="19"/>
  <c r="R55" i="19"/>
  <c r="Q7" i="19"/>
  <c r="R7" i="19"/>
  <c r="S7" i="19"/>
  <c r="T7" i="19"/>
  <c r="U7" i="19"/>
  <c r="V7" i="19"/>
  <c r="W7" i="19"/>
  <c r="X7" i="19"/>
  <c r="Y7" i="19"/>
  <c r="Z7" i="19"/>
  <c r="AA7" i="19"/>
  <c r="AB7" i="19"/>
  <c r="Q8" i="19"/>
  <c r="R8" i="19"/>
  <c r="S8" i="19"/>
  <c r="T8" i="19"/>
  <c r="U8" i="19"/>
  <c r="V8" i="19"/>
  <c r="W8" i="19"/>
  <c r="X8" i="19"/>
  <c r="Y8" i="19"/>
  <c r="Z8" i="19"/>
  <c r="AA8" i="19"/>
  <c r="AB8" i="19"/>
  <c r="Q9" i="19"/>
  <c r="R9" i="19"/>
  <c r="S9" i="19"/>
  <c r="T9" i="19"/>
  <c r="U9" i="19"/>
  <c r="V9" i="19"/>
  <c r="W9" i="19"/>
  <c r="X9" i="19"/>
  <c r="Y9" i="19"/>
  <c r="Z9" i="19"/>
  <c r="AA9" i="19"/>
  <c r="AB9" i="19"/>
  <c r="Q10" i="19"/>
  <c r="R10" i="19"/>
  <c r="S10" i="19"/>
  <c r="T10" i="19"/>
  <c r="U10" i="19"/>
  <c r="V10" i="19"/>
  <c r="W10" i="19"/>
  <c r="X10" i="19"/>
  <c r="Y10" i="19"/>
  <c r="Z10" i="19"/>
  <c r="AA10" i="19"/>
  <c r="AB10" i="19"/>
  <c r="Q11" i="19"/>
  <c r="R11" i="19"/>
  <c r="S11" i="19"/>
  <c r="T11" i="19"/>
  <c r="U11" i="19"/>
  <c r="V11" i="19"/>
  <c r="W11" i="19"/>
  <c r="X11" i="19"/>
  <c r="Y11" i="19"/>
  <c r="Z11" i="19"/>
  <c r="AA11" i="19"/>
  <c r="AB11" i="19"/>
  <c r="Q12" i="19"/>
  <c r="R12" i="19"/>
  <c r="S12" i="19"/>
  <c r="T12" i="19"/>
  <c r="U12" i="19"/>
  <c r="V12" i="19"/>
  <c r="W12" i="19"/>
  <c r="X12" i="19"/>
  <c r="Y12" i="19"/>
  <c r="Z12" i="19"/>
  <c r="AA12" i="19"/>
  <c r="AB12" i="19"/>
  <c r="Q13" i="19"/>
  <c r="R13" i="19"/>
  <c r="S13" i="19"/>
  <c r="T13" i="19"/>
  <c r="U13" i="19"/>
  <c r="V13" i="19"/>
  <c r="W13" i="19"/>
  <c r="X13" i="19"/>
  <c r="Y13" i="19"/>
  <c r="Z13" i="19"/>
  <c r="AA13" i="19"/>
  <c r="AB13" i="19"/>
  <c r="Q14" i="19"/>
  <c r="R14" i="19"/>
  <c r="S14" i="19"/>
  <c r="T14" i="19"/>
  <c r="U14" i="19"/>
  <c r="V14" i="19"/>
  <c r="W14" i="19"/>
  <c r="X14" i="19"/>
  <c r="Y14" i="19"/>
  <c r="Z14" i="19"/>
  <c r="AA14" i="19"/>
  <c r="AB14" i="19"/>
  <c r="Q15" i="19"/>
  <c r="R15" i="19"/>
  <c r="S15" i="19"/>
  <c r="T15" i="19"/>
  <c r="U15" i="19"/>
  <c r="V15" i="19"/>
  <c r="W15" i="19"/>
  <c r="X15" i="19"/>
  <c r="Y15" i="19"/>
  <c r="Z15" i="19"/>
  <c r="AA15" i="19"/>
  <c r="AB15" i="19"/>
  <c r="Q16" i="19"/>
  <c r="R16" i="19"/>
  <c r="S16" i="19"/>
  <c r="T16" i="19"/>
  <c r="U16" i="19"/>
  <c r="V16" i="19"/>
  <c r="W16" i="19"/>
  <c r="X16" i="19"/>
  <c r="Y16" i="19"/>
  <c r="Z16" i="19"/>
  <c r="AA16" i="19"/>
  <c r="AB16" i="19"/>
  <c r="Q17" i="19"/>
  <c r="R17" i="19"/>
  <c r="S17" i="19"/>
  <c r="T17" i="19"/>
  <c r="U17" i="19"/>
  <c r="V17" i="19"/>
  <c r="W17" i="19"/>
  <c r="X17" i="19"/>
  <c r="Y17" i="19"/>
  <c r="Z17" i="19"/>
  <c r="AA17" i="19"/>
  <c r="AB17" i="19"/>
  <c r="Q18" i="19"/>
  <c r="R18" i="19"/>
  <c r="S18" i="19"/>
  <c r="T18" i="19"/>
  <c r="U18" i="19"/>
  <c r="V18" i="19"/>
  <c r="W18" i="19"/>
  <c r="X18" i="19"/>
  <c r="Y18" i="19"/>
  <c r="Z18" i="19"/>
  <c r="AA18" i="19"/>
  <c r="AB18" i="19"/>
  <c r="Q19" i="19"/>
  <c r="R19" i="19"/>
  <c r="S19" i="19"/>
  <c r="T19" i="19"/>
  <c r="U19" i="19"/>
  <c r="V19" i="19"/>
  <c r="W19" i="19"/>
  <c r="X19" i="19"/>
  <c r="Y19" i="19"/>
  <c r="Z19" i="19"/>
  <c r="AA19" i="19"/>
  <c r="AB19" i="19"/>
  <c r="AC18" i="19" l="1"/>
  <c r="AC17" i="19"/>
  <c r="AC36" i="19"/>
  <c r="AC35" i="19"/>
  <c r="AC34" i="19"/>
  <c r="AC23" i="19"/>
  <c r="AC22" i="19"/>
  <c r="AC32" i="19"/>
  <c r="AC26" i="19"/>
  <c r="AC37" i="19" s="1"/>
  <c r="AC12" i="19"/>
  <c r="AC14" i="19"/>
  <c r="AC33" i="19"/>
  <c r="AC31" i="19"/>
  <c r="AC30" i="19"/>
  <c r="AC29" i="19"/>
  <c r="AC28" i="19"/>
  <c r="AC27" i="19"/>
  <c r="AC25" i="19"/>
  <c r="AC24" i="19"/>
  <c r="AC9" i="19"/>
  <c r="AC19" i="19"/>
  <c r="AC11" i="19"/>
  <c r="AC8" i="19"/>
  <c r="AC16" i="19"/>
  <c r="AC15" i="19"/>
  <c r="AC13" i="19"/>
  <c r="AC10" i="19"/>
  <c r="AC7" i="19"/>
  <c r="AR143" i="4" l="1"/>
  <c r="AR144" i="4"/>
  <c r="AR146" i="4"/>
  <c r="AR145" i="4"/>
  <c r="AR142" i="4"/>
  <c r="AR141" i="4"/>
  <c r="AR140" i="4"/>
  <c r="AR138" i="4"/>
  <c r="AR137" i="4"/>
  <c r="AR136" i="4"/>
  <c r="AR135" i="4"/>
  <c r="AR134" i="4"/>
  <c r="AR133" i="4"/>
  <c r="AR132" i="4"/>
  <c r="AR131" i="4"/>
  <c r="AR130" i="4"/>
  <c r="AR129" i="4"/>
  <c r="AR128" i="4"/>
  <c r="AR127" i="4"/>
  <c r="AR126" i="4"/>
  <c r="AR125" i="4"/>
  <c r="AM90" i="4"/>
  <c r="AJ90" i="4"/>
  <c r="AG90" i="4"/>
  <c r="AD90" i="4"/>
  <c r="AA90" i="4"/>
  <c r="AM54" i="4"/>
  <c r="AJ54" i="4"/>
  <c r="AG54" i="4"/>
  <c r="AD54" i="4"/>
  <c r="AA54" i="4"/>
  <c r="L54" i="4"/>
  <c r="O54" i="4"/>
  <c r="R54" i="4"/>
  <c r="U54" i="4"/>
  <c r="X54" i="4"/>
  <c r="X90" i="4"/>
  <c r="U90" i="4"/>
  <c r="R90" i="4"/>
  <c r="O90" i="4"/>
  <c r="L90" i="4"/>
  <c r="O72" i="4"/>
  <c r="L72" i="4"/>
  <c r="AP89" i="4"/>
  <c r="I89" i="4"/>
  <c r="H89" i="4"/>
  <c r="AN89" i="4" s="1"/>
  <c r="AP88" i="4"/>
  <c r="I88" i="4"/>
  <c r="H88" i="4"/>
  <c r="Y88" i="4" s="1"/>
  <c r="AP87" i="4"/>
  <c r="I87" i="4"/>
  <c r="H87" i="4"/>
  <c r="AB87" i="4" s="1"/>
  <c r="AP86" i="4"/>
  <c r="I86" i="4"/>
  <c r="H86" i="4"/>
  <c r="AB86" i="4" s="1"/>
  <c r="AP85" i="4"/>
  <c r="I85" i="4"/>
  <c r="H85" i="4"/>
  <c r="AB85" i="4" s="1"/>
  <c r="AP84" i="4"/>
  <c r="I84" i="4"/>
  <c r="H84" i="4"/>
  <c r="AB84" i="4" s="1"/>
  <c r="AP83" i="4"/>
  <c r="I83" i="4"/>
  <c r="H83" i="4"/>
  <c r="AB83" i="4" s="1"/>
  <c r="AP82" i="4"/>
  <c r="I82" i="4"/>
  <c r="H82" i="4"/>
  <c r="AB82" i="4" s="1"/>
  <c r="AP81" i="4"/>
  <c r="I81" i="4"/>
  <c r="H81" i="4"/>
  <c r="S81" i="4" s="1"/>
  <c r="AP80" i="4"/>
  <c r="I80" i="4"/>
  <c r="H80" i="4"/>
  <c r="AB80" i="4" s="1"/>
  <c r="AP79" i="4"/>
  <c r="I79" i="4"/>
  <c r="H79" i="4"/>
  <c r="AB79" i="4" s="1"/>
  <c r="AP78" i="4"/>
  <c r="I78" i="4"/>
  <c r="H78" i="4"/>
  <c r="AB78" i="4" s="1"/>
  <c r="AP77" i="4"/>
  <c r="I77" i="4"/>
  <c r="H77" i="4"/>
  <c r="AB77" i="4" s="1"/>
  <c r="I50" i="4"/>
  <c r="I51" i="4"/>
  <c r="I52" i="4"/>
  <c r="I53" i="4"/>
  <c r="AP53" i="4"/>
  <c r="H53" i="4"/>
  <c r="AB53" i="4" s="1"/>
  <c r="AP52" i="4"/>
  <c r="H52" i="4"/>
  <c r="Y52" i="4" s="1"/>
  <c r="AP51" i="4"/>
  <c r="H51" i="4"/>
  <c r="Y51" i="4" s="1"/>
  <c r="AP50" i="4"/>
  <c r="H50" i="4"/>
  <c r="AB50" i="4" s="1"/>
  <c r="AP49" i="4"/>
  <c r="I49" i="4"/>
  <c r="H49" i="4"/>
  <c r="AB49" i="4" s="1"/>
  <c r="AP48" i="4"/>
  <c r="I48" i="4"/>
  <c r="H48" i="4"/>
  <c r="Y48" i="4" s="1"/>
  <c r="AP47" i="4"/>
  <c r="I47" i="4"/>
  <c r="H47" i="4"/>
  <c r="AB47" i="4" s="1"/>
  <c r="AP46" i="4"/>
  <c r="I46" i="4"/>
  <c r="H46" i="4"/>
  <c r="AB46" i="4" s="1"/>
  <c r="AP45" i="4"/>
  <c r="I45" i="4"/>
  <c r="H45" i="4"/>
  <c r="Y45" i="4" s="1"/>
  <c r="AP44" i="4"/>
  <c r="I44" i="4"/>
  <c r="H44" i="4"/>
  <c r="Y44" i="4" s="1"/>
  <c r="AP43" i="4"/>
  <c r="I43" i="4"/>
  <c r="H43" i="4"/>
  <c r="AB43" i="4" s="1"/>
  <c r="AC147" i="4" s="1"/>
  <c r="X100" i="19" s="1"/>
  <c r="AP42" i="4"/>
  <c r="I42" i="4"/>
  <c r="H42" i="4"/>
  <c r="Y42" i="4" s="1"/>
  <c r="AP41" i="4"/>
  <c r="I41" i="4"/>
  <c r="H41" i="4"/>
  <c r="AB41" i="4" s="1"/>
  <c r="I26" i="8"/>
  <c r="K26" i="8"/>
  <c r="J26" i="8"/>
  <c r="K25" i="8"/>
  <c r="J25" i="8"/>
  <c r="I25" i="8"/>
  <c r="U91" i="4" l="1"/>
  <c r="AA91" i="4"/>
  <c r="AM91" i="4"/>
  <c r="L91" i="4"/>
  <c r="O91" i="4"/>
  <c r="R91" i="4"/>
  <c r="X91" i="4"/>
  <c r="AD91" i="4"/>
  <c r="AG91" i="4"/>
  <c r="AJ91" i="4"/>
  <c r="AQ156" i="4"/>
  <c r="F163" i="4"/>
  <c r="M89" i="4"/>
  <c r="AE85" i="4"/>
  <c r="M83" i="4"/>
  <c r="AK85" i="4"/>
  <c r="P83" i="4"/>
  <c r="AN85" i="4"/>
  <c r="S83" i="4"/>
  <c r="AK77" i="4"/>
  <c r="V83" i="4"/>
  <c r="AN77" i="4"/>
  <c r="AN83" i="4"/>
  <c r="Y81" i="4"/>
  <c r="AN87" i="4"/>
  <c r="M87" i="4"/>
  <c r="P87" i="4"/>
  <c r="S78" i="4"/>
  <c r="M82" i="4"/>
  <c r="P80" i="4"/>
  <c r="V78" i="4"/>
  <c r="P82" i="4"/>
  <c r="S77" i="4"/>
  <c r="Y78" i="4"/>
  <c r="S80" i="4"/>
  <c r="S82" i="4"/>
  <c r="V87" i="4"/>
  <c r="V77" i="4"/>
  <c r="AE78" i="4"/>
  <c r="Y80" i="4"/>
  <c r="V82" i="4"/>
  <c r="AH78" i="4"/>
  <c r="AE80" i="4"/>
  <c r="AN82" i="4"/>
  <c r="Y84" i="4"/>
  <c r="AE86" i="4"/>
  <c r="AH87" i="4"/>
  <c r="Y89" i="4"/>
  <c r="S87" i="4"/>
  <c r="Y87" i="4"/>
  <c r="Y77" i="4"/>
  <c r="AE77" i="4"/>
  <c r="AK78" i="4"/>
  <c r="AH77" i="4"/>
  <c r="AN78" i="4"/>
  <c r="AK87" i="4"/>
  <c r="AH86" i="4"/>
  <c r="AE83" i="4"/>
  <c r="M77" i="4"/>
  <c r="M78" i="4"/>
  <c r="Y79" i="4"/>
  <c r="AH82" i="4"/>
  <c r="AH83" i="4"/>
  <c r="S85" i="4"/>
  <c r="P86" i="4"/>
  <c r="AE87" i="4"/>
  <c r="AH80" i="4"/>
  <c r="AK80" i="4"/>
  <c r="Y82" i="4"/>
  <c r="Y83" i="4"/>
  <c r="M85" i="4"/>
  <c r="M86" i="4"/>
  <c r="AK86" i="4"/>
  <c r="AE82" i="4"/>
  <c r="P85" i="4"/>
  <c r="P77" i="4"/>
  <c r="P78" i="4"/>
  <c r="AK82" i="4"/>
  <c r="AK83" i="4"/>
  <c r="V85" i="4"/>
  <c r="Y85" i="4"/>
  <c r="S86" i="4"/>
  <c r="M80" i="4"/>
  <c r="AH85" i="4"/>
  <c r="Y86" i="4"/>
  <c r="AB89" i="4"/>
  <c r="AE89" i="4"/>
  <c r="P89" i="4"/>
  <c r="AH89" i="4"/>
  <c r="S89" i="4"/>
  <c r="AK89" i="4"/>
  <c r="V89" i="4"/>
  <c r="AB88" i="4"/>
  <c r="M88" i="4"/>
  <c r="AE88" i="4"/>
  <c r="P88" i="4"/>
  <c r="AH88" i="4"/>
  <c r="S88" i="4"/>
  <c r="AK88" i="4"/>
  <c r="V88" i="4"/>
  <c r="AN88" i="4"/>
  <c r="V86" i="4"/>
  <c r="AN86" i="4"/>
  <c r="M84" i="4"/>
  <c r="AE84" i="4"/>
  <c r="P84" i="4"/>
  <c r="AH84" i="4"/>
  <c r="S84" i="4"/>
  <c r="AK84" i="4"/>
  <c r="V84" i="4"/>
  <c r="AN84" i="4"/>
  <c r="AE81" i="4"/>
  <c r="AH81" i="4"/>
  <c r="AK81" i="4"/>
  <c r="V81" i="4"/>
  <c r="AN81" i="4"/>
  <c r="AB81" i="4"/>
  <c r="M81" i="4"/>
  <c r="P81" i="4"/>
  <c r="V80" i="4"/>
  <c r="AN80" i="4"/>
  <c r="M79" i="4"/>
  <c r="AE79" i="4"/>
  <c r="P79" i="4"/>
  <c r="AH79" i="4"/>
  <c r="S79" i="4"/>
  <c r="AK79" i="4"/>
  <c r="V79" i="4"/>
  <c r="AN79" i="4"/>
  <c r="S49" i="4"/>
  <c r="V49" i="4"/>
  <c r="Y49" i="4"/>
  <c r="AE43" i="4"/>
  <c r="AF147" i="4" s="1"/>
  <c r="Y100" i="19" s="1"/>
  <c r="Y102" i="19" s="1"/>
  <c r="AN49" i="4"/>
  <c r="AE47" i="4"/>
  <c r="AH47" i="4"/>
  <c r="AH41" i="4"/>
  <c r="AH43" i="4"/>
  <c r="AI147" i="4" s="1"/>
  <c r="Z100" i="19" s="1"/>
  <c r="Z102" i="19" s="1"/>
  <c r="AE49" i="4"/>
  <c r="P50" i="4"/>
  <c r="AN41" i="4"/>
  <c r="M49" i="4"/>
  <c r="AH49" i="4"/>
  <c r="AH50" i="4"/>
  <c r="V41" i="4"/>
  <c r="M47" i="4"/>
  <c r="P49" i="4"/>
  <c r="AK49" i="4"/>
  <c r="AE41" i="4"/>
  <c r="M41" i="4"/>
  <c r="M43" i="4"/>
  <c r="N147" i="4" s="1"/>
  <c r="P41" i="4"/>
  <c r="AK41" i="4"/>
  <c r="P43" i="4"/>
  <c r="Q147" i="4" s="1"/>
  <c r="T100" i="19" s="1"/>
  <c r="AK43" i="4"/>
  <c r="AL147" i="4" s="1"/>
  <c r="AA100" i="19" s="1"/>
  <c r="AA102" i="19" s="1"/>
  <c r="M50" i="4"/>
  <c r="S41" i="4"/>
  <c r="S43" i="4"/>
  <c r="T147" i="4" s="1"/>
  <c r="U100" i="19" s="1"/>
  <c r="AN43" i="4"/>
  <c r="AO147" i="4" s="1"/>
  <c r="AB100" i="19" s="1"/>
  <c r="AB102" i="19" s="1"/>
  <c r="AE50" i="4"/>
  <c r="V43" i="4"/>
  <c r="W147" i="4" s="1"/>
  <c r="V100" i="19" s="1"/>
  <c r="Y41" i="4"/>
  <c r="Y43" i="4"/>
  <c r="Z147" i="4" s="1"/>
  <c r="W100" i="19" s="1"/>
  <c r="P47" i="4"/>
  <c r="M53" i="4"/>
  <c r="AE53" i="4"/>
  <c r="P53" i="4"/>
  <c r="AH53" i="4"/>
  <c r="S53" i="4"/>
  <c r="AK53" i="4"/>
  <c r="V53" i="4"/>
  <c r="AN53" i="4"/>
  <c r="Y53" i="4"/>
  <c r="AB52" i="4"/>
  <c r="M52" i="4"/>
  <c r="AE52" i="4"/>
  <c r="P52" i="4"/>
  <c r="AH52" i="4"/>
  <c r="S52" i="4"/>
  <c r="AK52" i="4"/>
  <c r="V52" i="4"/>
  <c r="AN52" i="4"/>
  <c r="AB51" i="4"/>
  <c r="M51" i="4"/>
  <c r="AE51" i="4"/>
  <c r="P51" i="4"/>
  <c r="AH51" i="4"/>
  <c r="S51" i="4"/>
  <c r="AK51" i="4"/>
  <c r="V51" i="4"/>
  <c r="AN51" i="4"/>
  <c r="S50" i="4"/>
  <c r="AK50" i="4"/>
  <c r="V50" i="4"/>
  <c r="AN50" i="4"/>
  <c r="Y50" i="4"/>
  <c r="AB48" i="4"/>
  <c r="M48" i="4"/>
  <c r="AE48" i="4"/>
  <c r="P48" i="4"/>
  <c r="AH48" i="4"/>
  <c r="S48" i="4"/>
  <c r="AK48" i="4"/>
  <c r="V48" i="4"/>
  <c r="AN48" i="4"/>
  <c r="S47" i="4"/>
  <c r="AK47" i="4"/>
  <c r="V47" i="4"/>
  <c r="AN47" i="4"/>
  <c r="Y47" i="4"/>
  <c r="M46" i="4"/>
  <c r="AE46" i="4"/>
  <c r="P46" i="4"/>
  <c r="AH46" i="4"/>
  <c r="S46" i="4"/>
  <c r="AK46" i="4"/>
  <c r="V46" i="4"/>
  <c r="AN46" i="4"/>
  <c r="Y46" i="4"/>
  <c r="AB45" i="4"/>
  <c r="M45" i="4"/>
  <c r="AE45" i="4"/>
  <c r="P45" i="4"/>
  <c r="AH45" i="4"/>
  <c r="S45" i="4"/>
  <c r="AK45" i="4"/>
  <c r="V45" i="4"/>
  <c r="AN45" i="4"/>
  <c r="AB44" i="4"/>
  <c r="M44" i="4"/>
  <c r="AE44" i="4"/>
  <c r="P44" i="4"/>
  <c r="AH44" i="4"/>
  <c r="S44" i="4"/>
  <c r="AK44" i="4"/>
  <c r="V44" i="4"/>
  <c r="AN44" i="4"/>
  <c r="AB42" i="4"/>
  <c r="M42" i="4"/>
  <c r="AE42" i="4"/>
  <c r="P42" i="4"/>
  <c r="AH42" i="4"/>
  <c r="S42" i="4"/>
  <c r="AK42" i="4"/>
  <c r="V42" i="4"/>
  <c r="AN42" i="4"/>
  <c r="AR17" i="4"/>
  <c r="AP17" i="4"/>
  <c r="L1" i="4" a="1"/>
  <c r="L1" i="4" s="1"/>
  <c r="L2" i="4" a="1"/>
  <c r="L2" i="4" s="1"/>
  <c r="K24" i="8"/>
  <c r="J24" i="8"/>
  <c r="I24" i="8"/>
  <c r="K23" i="8"/>
  <c r="J23" i="8"/>
  <c r="I23" i="8"/>
  <c r="K22" i="8"/>
  <c r="J22" i="8"/>
  <c r="I22" i="8"/>
  <c r="K21" i="8"/>
  <c r="J21" i="8"/>
  <c r="I21" i="8"/>
  <c r="K20" i="8"/>
  <c r="J20" i="8"/>
  <c r="I20" i="8"/>
  <c r="K19" i="8"/>
  <c r="J19" i="8"/>
  <c r="I19" i="8"/>
  <c r="K18" i="8"/>
  <c r="J18" i="8"/>
  <c r="I18" i="8"/>
  <c r="K16" i="8"/>
  <c r="J16" i="8"/>
  <c r="I16" i="8"/>
  <c r="K15" i="8"/>
  <c r="J15" i="8"/>
  <c r="I15" i="8"/>
  <c r="K14" i="8"/>
  <c r="J14" i="8"/>
  <c r="I14" i="8"/>
  <c r="K13" i="8"/>
  <c r="J13" i="8"/>
  <c r="I13" i="8"/>
  <c r="K12" i="8"/>
  <c r="J12" i="8"/>
  <c r="I12" i="8"/>
  <c r="K11" i="8"/>
  <c r="J11" i="8"/>
  <c r="I11" i="8"/>
  <c r="K10" i="8"/>
  <c r="J10" i="8"/>
  <c r="I10" i="8"/>
  <c r="K9" i="8"/>
  <c r="J9" i="8"/>
  <c r="I9" i="8"/>
  <c r="K8" i="8"/>
  <c r="J8" i="8"/>
  <c r="I8" i="8"/>
  <c r="K7" i="8"/>
  <c r="J7" i="8"/>
  <c r="I7" i="8"/>
  <c r="AR147" i="4" l="1"/>
  <c r="S100" i="19"/>
  <c r="F12" i="4"/>
  <c r="AQ87" i="4"/>
  <c r="AT87" i="4" s="1"/>
  <c r="AQ85" i="4"/>
  <c r="AT85" i="4" s="1"/>
  <c r="AQ78" i="4"/>
  <c r="AT78" i="4" s="1"/>
  <c r="AQ83" i="4"/>
  <c r="AT83" i="4" s="1"/>
  <c r="AQ77" i="4"/>
  <c r="AQ82" i="4"/>
  <c r="AT82" i="4" s="1"/>
  <c r="AQ80" i="4"/>
  <c r="AT80" i="4" s="1"/>
  <c r="AQ86" i="4"/>
  <c r="AT86" i="4" s="1"/>
  <c r="AQ89" i="4"/>
  <c r="AT89" i="4" s="1"/>
  <c r="AQ88" i="4"/>
  <c r="AT88" i="4" s="1"/>
  <c r="AQ84" i="4"/>
  <c r="AT84" i="4" s="1"/>
  <c r="AQ81" i="4"/>
  <c r="AT81" i="4" s="1"/>
  <c r="AQ79" i="4"/>
  <c r="AT79" i="4" s="1"/>
  <c r="AQ43" i="4"/>
  <c r="AT43" i="4" s="1"/>
  <c r="AQ49" i="4"/>
  <c r="AT49" i="4" s="1"/>
  <c r="AQ50" i="4"/>
  <c r="AT50" i="4" s="1"/>
  <c r="AQ41" i="4"/>
  <c r="AT41" i="4" s="1"/>
  <c r="AQ47" i="4"/>
  <c r="AT47" i="4" s="1"/>
  <c r="AQ51" i="4"/>
  <c r="AT51" i="4" s="1"/>
  <c r="AQ53" i="4"/>
  <c r="AT53" i="4" s="1"/>
  <c r="AQ52" i="4"/>
  <c r="AT52" i="4" s="1"/>
  <c r="AQ48" i="4"/>
  <c r="AT48" i="4" s="1"/>
  <c r="AQ46" i="4"/>
  <c r="AT46" i="4" s="1"/>
  <c r="AQ45" i="4"/>
  <c r="AT45" i="4" s="1"/>
  <c r="AQ44" i="4"/>
  <c r="AT44" i="4" s="1"/>
  <c r="AQ42" i="4"/>
  <c r="AT42" i="4" s="1"/>
  <c r="H1" i="4"/>
  <c r="L17" i="4"/>
  <c r="L15" i="4"/>
  <c r="B173" i="4" l="1"/>
  <c r="D2" i="22"/>
  <c r="AC100" i="19"/>
  <c r="AT77" i="4"/>
  <c r="B94" i="19"/>
  <c r="C94" i="19"/>
  <c r="D94" i="19"/>
  <c r="E94" i="19"/>
  <c r="F94" i="19"/>
  <c r="G94" i="19"/>
  <c r="H94" i="19"/>
  <c r="I94" i="19"/>
  <c r="J94" i="19"/>
  <c r="K94" i="19"/>
  <c r="L94" i="19"/>
  <c r="M94" i="19"/>
  <c r="AR105" i="4"/>
  <c r="AR106" i="4"/>
  <c r="AR107" i="4"/>
  <c r="AR108" i="4"/>
  <c r="AR109" i="4"/>
  <c r="AR110" i="4"/>
  <c r="AR112" i="4"/>
  <c r="AR113" i="4"/>
  <c r="N94" i="19" l="1"/>
  <c r="I75" i="4"/>
  <c r="I76" i="4"/>
  <c r="I74" i="4"/>
  <c r="I57" i="4"/>
  <c r="I58" i="4"/>
  <c r="I59" i="4"/>
  <c r="I60" i="4"/>
  <c r="I61" i="4"/>
  <c r="I62" i="4"/>
  <c r="I63" i="4"/>
  <c r="I64" i="4"/>
  <c r="I65" i="4"/>
  <c r="I66" i="4"/>
  <c r="I67" i="4"/>
  <c r="I68" i="4"/>
  <c r="I69" i="4"/>
  <c r="I70" i="4"/>
  <c r="I71" i="4"/>
  <c r="I56" i="4"/>
  <c r="I39" i="4"/>
  <c r="I40" i="4"/>
  <c r="I38" i="4"/>
  <c r="I21" i="4"/>
  <c r="I22" i="4"/>
  <c r="I23" i="4"/>
  <c r="I24" i="4"/>
  <c r="I25" i="4"/>
  <c r="I26" i="4"/>
  <c r="I27" i="4"/>
  <c r="I28" i="4"/>
  <c r="I29" i="4"/>
  <c r="I30" i="4"/>
  <c r="I31" i="4"/>
  <c r="I32" i="4"/>
  <c r="I33" i="4"/>
  <c r="I34" i="4"/>
  <c r="I35" i="4"/>
  <c r="I20" i="4"/>
  <c r="B99" i="19"/>
  <c r="C99" i="19"/>
  <c r="D99" i="19"/>
  <c r="E99" i="19"/>
  <c r="F99" i="19"/>
  <c r="G99" i="19"/>
  <c r="H99" i="19"/>
  <c r="I99" i="19"/>
  <c r="J99" i="19"/>
  <c r="K99" i="19"/>
  <c r="L99" i="19"/>
  <c r="M99" i="19"/>
  <c r="AR118" i="4"/>
  <c r="N99" i="19" l="1"/>
  <c r="R107" i="19" l="1"/>
  <c r="AQ163" i="4" l="1"/>
  <c r="AB163" i="4"/>
  <c r="AH163" i="4"/>
  <c r="S163" i="4"/>
  <c r="AK163" i="4"/>
  <c r="M163" i="4"/>
  <c r="V163" i="4"/>
  <c r="AN163" i="4"/>
  <c r="AE163" i="4"/>
  <c r="P163" i="4"/>
  <c r="Y163" i="4"/>
  <c r="C107" i="19" l="1"/>
  <c r="K15" i="4" l="1"/>
  <c r="AJ36" i="4" l="1"/>
  <c r="AN156" i="4" l="1"/>
  <c r="AK156" i="4"/>
  <c r="AH156" i="4"/>
  <c r="AE156" i="4"/>
  <c r="AB156" i="4"/>
  <c r="Y156" i="4"/>
  <c r="V156" i="4"/>
  <c r="S156" i="4"/>
  <c r="P156" i="4"/>
  <c r="M156" i="4"/>
  <c r="Q77" i="19" l="1"/>
  <c r="Q76" i="19"/>
  <c r="R77" i="19"/>
  <c r="R76" i="19"/>
  <c r="R41" i="19"/>
  <c r="R42" i="19"/>
  <c r="R40" i="19"/>
  <c r="R5" i="19"/>
  <c r="R6" i="19"/>
  <c r="R4" i="19"/>
  <c r="C58" i="19"/>
  <c r="C59" i="19"/>
  <c r="C60" i="19"/>
  <c r="C61" i="19"/>
  <c r="C62" i="19"/>
  <c r="C63" i="19"/>
  <c r="C64" i="19"/>
  <c r="C65" i="19"/>
  <c r="C66" i="19"/>
  <c r="C67" i="19"/>
  <c r="C68" i="19"/>
  <c r="C69" i="19"/>
  <c r="C70" i="19"/>
  <c r="C71" i="19"/>
  <c r="C72" i="19"/>
  <c r="C57" i="19"/>
  <c r="C41" i="19"/>
  <c r="C42" i="19"/>
  <c r="C43" i="19"/>
  <c r="C44" i="19"/>
  <c r="C45" i="19"/>
  <c r="C46" i="19"/>
  <c r="C47" i="19"/>
  <c r="C48" i="19"/>
  <c r="C49" i="19"/>
  <c r="C50" i="19"/>
  <c r="C51" i="19"/>
  <c r="C52" i="19"/>
  <c r="C53" i="19"/>
  <c r="C54" i="19"/>
  <c r="C55" i="19"/>
  <c r="C40" i="19"/>
  <c r="C22" i="19"/>
  <c r="C23" i="19"/>
  <c r="C24" i="19"/>
  <c r="C25" i="19"/>
  <c r="C26" i="19"/>
  <c r="C27" i="19"/>
  <c r="C28" i="19"/>
  <c r="C29" i="19"/>
  <c r="C30" i="19"/>
  <c r="C31" i="19"/>
  <c r="C32" i="19"/>
  <c r="C33" i="19"/>
  <c r="C34" i="19"/>
  <c r="C35" i="19"/>
  <c r="C36" i="19"/>
  <c r="C21" i="19"/>
  <c r="C5" i="19"/>
  <c r="C6" i="19"/>
  <c r="C7" i="19"/>
  <c r="C8" i="19"/>
  <c r="C9" i="19"/>
  <c r="C10" i="19"/>
  <c r="C11" i="19"/>
  <c r="C12" i="19"/>
  <c r="C13" i="19"/>
  <c r="C14" i="19"/>
  <c r="C15" i="19"/>
  <c r="C16" i="19"/>
  <c r="C17" i="19"/>
  <c r="C18" i="19"/>
  <c r="C19" i="19"/>
  <c r="C4" i="19"/>
  <c r="C77" i="19"/>
  <c r="C78" i="19"/>
  <c r="C79" i="19"/>
  <c r="C80" i="19"/>
  <c r="C81" i="19"/>
  <c r="C82" i="19"/>
  <c r="C83" i="19"/>
  <c r="C84" i="19"/>
  <c r="C85" i="19"/>
  <c r="C86" i="19"/>
  <c r="C87" i="19"/>
  <c r="C88" i="19"/>
  <c r="C89" i="19"/>
  <c r="C90" i="19"/>
  <c r="C91" i="19"/>
  <c r="C93" i="19"/>
  <c r="C95" i="19"/>
  <c r="C96" i="19"/>
  <c r="C97" i="19"/>
  <c r="C98" i="19"/>
  <c r="C76" i="19"/>
  <c r="F22" i="19"/>
  <c r="G22" i="19"/>
  <c r="H22" i="19"/>
  <c r="I22" i="19"/>
  <c r="J22" i="19"/>
  <c r="K22" i="19"/>
  <c r="L22" i="19"/>
  <c r="M22" i="19"/>
  <c r="F23" i="19"/>
  <c r="G23" i="19"/>
  <c r="H23" i="19"/>
  <c r="I23" i="19"/>
  <c r="J23" i="19"/>
  <c r="K23" i="19"/>
  <c r="L23" i="19"/>
  <c r="M23" i="19"/>
  <c r="F24" i="19"/>
  <c r="G24" i="19"/>
  <c r="H24" i="19"/>
  <c r="I24" i="19"/>
  <c r="J24" i="19"/>
  <c r="K24" i="19"/>
  <c r="L24" i="19"/>
  <c r="M24" i="19"/>
  <c r="F25" i="19"/>
  <c r="G25" i="19"/>
  <c r="H25" i="19"/>
  <c r="I25" i="19"/>
  <c r="J25" i="19"/>
  <c r="K25" i="19"/>
  <c r="L25" i="19"/>
  <c r="M25" i="19"/>
  <c r="F26" i="19"/>
  <c r="G26" i="19"/>
  <c r="H26" i="19"/>
  <c r="I26" i="19"/>
  <c r="J26" i="19"/>
  <c r="K26" i="19"/>
  <c r="L26" i="19"/>
  <c r="M26" i="19"/>
  <c r="F27" i="19"/>
  <c r="G27" i="19"/>
  <c r="H27" i="19"/>
  <c r="I27" i="19"/>
  <c r="J27" i="19"/>
  <c r="K27" i="19"/>
  <c r="L27" i="19"/>
  <c r="M27" i="19"/>
  <c r="F28" i="19"/>
  <c r="G28" i="19"/>
  <c r="H28" i="19"/>
  <c r="I28" i="19"/>
  <c r="J28" i="19"/>
  <c r="K28" i="19"/>
  <c r="L28" i="19"/>
  <c r="M28" i="19"/>
  <c r="F29" i="19"/>
  <c r="G29" i="19"/>
  <c r="H29" i="19"/>
  <c r="I29" i="19"/>
  <c r="J29" i="19"/>
  <c r="K29" i="19"/>
  <c r="L29" i="19"/>
  <c r="M29" i="19"/>
  <c r="F30" i="19"/>
  <c r="G30" i="19"/>
  <c r="H30" i="19"/>
  <c r="I30" i="19"/>
  <c r="J30" i="19"/>
  <c r="K30" i="19"/>
  <c r="L30" i="19"/>
  <c r="M30" i="19"/>
  <c r="F31" i="19"/>
  <c r="G31" i="19"/>
  <c r="H31" i="19"/>
  <c r="I31" i="19"/>
  <c r="J31" i="19"/>
  <c r="K31" i="19"/>
  <c r="L31" i="19"/>
  <c r="M31" i="19"/>
  <c r="F32" i="19"/>
  <c r="G32" i="19"/>
  <c r="H32" i="19"/>
  <c r="I32" i="19"/>
  <c r="J32" i="19"/>
  <c r="K32" i="19"/>
  <c r="L32" i="19"/>
  <c r="M32" i="19"/>
  <c r="F33" i="19"/>
  <c r="G33" i="19"/>
  <c r="H33" i="19"/>
  <c r="I33" i="19"/>
  <c r="J33" i="19"/>
  <c r="K33" i="19"/>
  <c r="L33" i="19"/>
  <c r="M33" i="19"/>
  <c r="F34" i="19"/>
  <c r="G34" i="19"/>
  <c r="H34" i="19"/>
  <c r="I34" i="19"/>
  <c r="J34" i="19"/>
  <c r="K34" i="19"/>
  <c r="L34" i="19"/>
  <c r="M34" i="19"/>
  <c r="F35" i="19"/>
  <c r="G35" i="19"/>
  <c r="H35" i="19"/>
  <c r="I35" i="19"/>
  <c r="J35" i="19"/>
  <c r="K35" i="19"/>
  <c r="L35" i="19"/>
  <c r="M35" i="19"/>
  <c r="F36" i="19"/>
  <c r="G36" i="19"/>
  <c r="H36" i="19"/>
  <c r="I36" i="19"/>
  <c r="J36" i="19"/>
  <c r="K36" i="19"/>
  <c r="L36" i="19"/>
  <c r="M36" i="19"/>
  <c r="E22" i="19"/>
  <c r="E23" i="19"/>
  <c r="E24" i="19"/>
  <c r="E25" i="19"/>
  <c r="E26" i="19"/>
  <c r="E27" i="19"/>
  <c r="E28" i="19"/>
  <c r="E29" i="19"/>
  <c r="E30" i="19"/>
  <c r="E31" i="19"/>
  <c r="E32" i="19"/>
  <c r="E33" i="19"/>
  <c r="E34" i="19"/>
  <c r="E35" i="19"/>
  <c r="E36" i="19"/>
  <c r="E21" i="19"/>
  <c r="D22" i="19"/>
  <c r="D23" i="19"/>
  <c r="D24" i="19"/>
  <c r="D25" i="19"/>
  <c r="D26" i="19"/>
  <c r="D27" i="19"/>
  <c r="D28" i="19"/>
  <c r="D29" i="19"/>
  <c r="D30" i="19"/>
  <c r="D31" i="19"/>
  <c r="D32" i="19"/>
  <c r="D33" i="19"/>
  <c r="D34" i="19"/>
  <c r="D35" i="19"/>
  <c r="D36" i="19"/>
  <c r="Z77" i="19" l="1"/>
  <c r="Z76" i="19"/>
  <c r="Q105" i="19"/>
  <c r="B107" i="19"/>
  <c r="B106" i="19"/>
  <c r="Q107" i="19"/>
  <c r="Q106" i="19"/>
  <c r="B110" i="19"/>
  <c r="B104" i="19"/>
  <c r="B105" i="19"/>
  <c r="S77" i="19"/>
  <c r="T77" i="19"/>
  <c r="U77" i="19"/>
  <c r="V77" i="19"/>
  <c r="W77" i="19"/>
  <c r="X77" i="19"/>
  <c r="Y77" i="19"/>
  <c r="AA77" i="19"/>
  <c r="AB77" i="19"/>
  <c r="AB76" i="19"/>
  <c r="AA76" i="19"/>
  <c r="Y76" i="19"/>
  <c r="X76" i="19"/>
  <c r="W76" i="19"/>
  <c r="V76" i="19"/>
  <c r="U76" i="19"/>
  <c r="T76" i="19"/>
  <c r="S76" i="19"/>
  <c r="E77" i="19"/>
  <c r="F77" i="19"/>
  <c r="G77" i="19"/>
  <c r="H77" i="19"/>
  <c r="I77" i="19"/>
  <c r="J77" i="19"/>
  <c r="K77" i="19"/>
  <c r="L77" i="19"/>
  <c r="M77" i="19"/>
  <c r="E78" i="19"/>
  <c r="F78" i="19"/>
  <c r="G78" i="19"/>
  <c r="H78" i="19"/>
  <c r="I78" i="19"/>
  <c r="J78" i="19"/>
  <c r="K78" i="19"/>
  <c r="L78" i="19"/>
  <c r="M78" i="19"/>
  <c r="E79" i="19"/>
  <c r="F79" i="19"/>
  <c r="G79" i="19"/>
  <c r="H79" i="19"/>
  <c r="I79" i="19"/>
  <c r="J79" i="19"/>
  <c r="K79" i="19"/>
  <c r="L79" i="19"/>
  <c r="M79" i="19"/>
  <c r="E80" i="19"/>
  <c r="F80" i="19"/>
  <c r="G80" i="19"/>
  <c r="H80" i="19"/>
  <c r="I80" i="19"/>
  <c r="J80" i="19"/>
  <c r="K80" i="19"/>
  <c r="L80" i="19"/>
  <c r="M80" i="19"/>
  <c r="E81" i="19"/>
  <c r="F81" i="19"/>
  <c r="G81" i="19"/>
  <c r="H81" i="19"/>
  <c r="I81" i="19"/>
  <c r="J81" i="19"/>
  <c r="K81" i="19"/>
  <c r="L81" i="19"/>
  <c r="M81" i="19"/>
  <c r="E82" i="19"/>
  <c r="F82" i="19"/>
  <c r="G82" i="19"/>
  <c r="H82" i="19"/>
  <c r="I82" i="19"/>
  <c r="J82" i="19"/>
  <c r="K82" i="19"/>
  <c r="L82" i="19"/>
  <c r="M82" i="19"/>
  <c r="E83" i="19"/>
  <c r="F83" i="19"/>
  <c r="G83" i="19"/>
  <c r="H83" i="19"/>
  <c r="I83" i="19"/>
  <c r="J83" i="19"/>
  <c r="K83" i="19"/>
  <c r="L83" i="19"/>
  <c r="M83" i="19"/>
  <c r="E84" i="19"/>
  <c r="F84" i="19"/>
  <c r="G84" i="19"/>
  <c r="H84" i="19"/>
  <c r="I84" i="19"/>
  <c r="J84" i="19"/>
  <c r="K84" i="19"/>
  <c r="L84" i="19"/>
  <c r="M84" i="19"/>
  <c r="E85" i="19"/>
  <c r="F85" i="19"/>
  <c r="G85" i="19"/>
  <c r="H85" i="19"/>
  <c r="I85" i="19"/>
  <c r="J85" i="19"/>
  <c r="K85" i="19"/>
  <c r="L85" i="19"/>
  <c r="M85" i="19"/>
  <c r="E86" i="19"/>
  <c r="F86" i="19"/>
  <c r="G86" i="19"/>
  <c r="H86" i="19"/>
  <c r="I86" i="19"/>
  <c r="J86" i="19"/>
  <c r="K86" i="19"/>
  <c r="L86" i="19"/>
  <c r="M86" i="19"/>
  <c r="E87" i="19"/>
  <c r="F87" i="19"/>
  <c r="G87" i="19"/>
  <c r="H87" i="19"/>
  <c r="I87" i="19"/>
  <c r="J87" i="19"/>
  <c r="K87" i="19"/>
  <c r="L87" i="19"/>
  <c r="M87" i="19"/>
  <c r="E88" i="19"/>
  <c r="F88" i="19"/>
  <c r="G88" i="19"/>
  <c r="H88" i="19"/>
  <c r="I88" i="19"/>
  <c r="J88" i="19"/>
  <c r="K88" i="19"/>
  <c r="L88" i="19"/>
  <c r="M88" i="19"/>
  <c r="E89" i="19"/>
  <c r="F89" i="19"/>
  <c r="G89" i="19"/>
  <c r="H89" i="19"/>
  <c r="I89" i="19"/>
  <c r="J89" i="19"/>
  <c r="K89" i="19"/>
  <c r="L89" i="19"/>
  <c r="M89" i="19"/>
  <c r="E90" i="19"/>
  <c r="F90" i="19"/>
  <c r="G90" i="19"/>
  <c r="H90" i="19"/>
  <c r="I90" i="19"/>
  <c r="J90" i="19"/>
  <c r="K90" i="19"/>
  <c r="L90" i="19"/>
  <c r="M90" i="19"/>
  <c r="E91" i="19"/>
  <c r="F91" i="19"/>
  <c r="G91" i="19"/>
  <c r="H91" i="19"/>
  <c r="I91" i="19"/>
  <c r="J91" i="19"/>
  <c r="K91" i="19"/>
  <c r="L91" i="19"/>
  <c r="M91" i="19"/>
  <c r="J92" i="19"/>
  <c r="K92" i="19"/>
  <c r="L92" i="19"/>
  <c r="M92" i="19"/>
  <c r="E93" i="19"/>
  <c r="F93" i="19"/>
  <c r="G93" i="19"/>
  <c r="H93" i="19"/>
  <c r="I93" i="19"/>
  <c r="J93" i="19"/>
  <c r="K93" i="19"/>
  <c r="L93" i="19"/>
  <c r="M93" i="19"/>
  <c r="E95" i="19"/>
  <c r="F95" i="19"/>
  <c r="G95" i="19"/>
  <c r="H95" i="19"/>
  <c r="I95" i="19"/>
  <c r="J95" i="19"/>
  <c r="K95" i="19"/>
  <c r="L95" i="19"/>
  <c r="M95" i="19"/>
  <c r="E96" i="19"/>
  <c r="F96" i="19"/>
  <c r="G96" i="19"/>
  <c r="H96" i="19"/>
  <c r="I96" i="19"/>
  <c r="J96" i="19"/>
  <c r="K96" i="19"/>
  <c r="L96" i="19"/>
  <c r="M96" i="19"/>
  <c r="E97" i="19"/>
  <c r="F97" i="19"/>
  <c r="G97" i="19"/>
  <c r="H97" i="19"/>
  <c r="I97" i="19"/>
  <c r="J97" i="19"/>
  <c r="K97" i="19"/>
  <c r="L97" i="19"/>
  <c r="M97" i="19"/>
  <c r="E98" i="19"/>
  <c r="F98" i="19"/>
  <c r="G98" i="19"/>
  <c r="H98" i="19"/>
  <c r="I98" i="19"/>
  <c r="J98" i="19"/>
  <c r="K98" i="19"/>
  <c r="L98" i="19"/>
  <c r="M98" i="19"/>
  <c r="M76" i="19"/>
  <c r="L76" i="19"/>
  <c r="K76" i="19"/>
  <c r="J76" i="19"/>
  <c r="I76" i="19"/>
  <c r="H76" i="19"/>
  <c r="G76" i="19"/>
  <c r="F76" i="19"/>
  <c r="E76" i="19"/>
  <c r="D77" i="19"/>
  <c r="D78" i="19"/>
  <c r="D79" i="19"/>
  <c r="D80" i="19"/>
  <c r="D81" i="19"/>
  <c r="D82" i="19"/>
  <c r="D83" i="19"/>
  <c r="D84" i="19"/>
  <c r="D85" i="19"/>
  <c r="D86" i="19"/>
  <c r="D87" i="19"/>
  <c r="D88" i="19"/>
  <c r="D89" i="19"/>
  <c r="D90" i="19"/>
  <c r="D91" i="19"/>
  <c r="D93" i="19"/>
  <c r="D95" i="19"/>
  <c r="D96" i="19"/>
  <c r="D97" i="19"/>
  <c r="D98" i="19"/>
  <c r="D76" i="19"/>
  <c r="B77" i="19"/>
  <c r="B78" i="19"/>
  <c r="B79" i="19"/>
  <c r="B80" i="19"/>
  <c r="B81" i="19"/>
  <c r="B82" i="19"/>
  <c r="B83" i="19"/>
  <c r="B84" i="19"/>
  <c r="B85" i="19"/>
  <c r="B86" i="19"/>
  <c r="B87" i="19"/>
  <c r="B88" i="19"/>
  <c r="B89" i="19"/>
  <c r="B90" i="19"/>
  <c r="B91" i="19"/>
  <c r="B92" i="19"/>
  <c r="Q92" i="19" s="1"/>
  <c r="B93" i="19"/>
  <c r="B95" i="19"/>
  <c r="B96" i="19"/>
  <c r="B97" i="19"/>
  <c r="B98" i="19"/>
  <c r="B76" i="19"/>
  <c r="Q42" i="19"/>
  <c r="Q41" i="19"/>
  <c r="Q40" i="19"/>
  <c r="AB6" i="19"/>
  <c r="AA6" i="19"/>
  <c r="Z6" i="19"/>
  <c r="Y6" i="19"/>
  <c r="X6" i="19"/>
  <c r="W6" i="19"/>
  <c r="V6" i="19"/>
  <c r="U6" i="19"/>
  <c r="T6" i="19"/>
  <c r="S6" i="19"/>
  <c r="Q6" i="19"/>
  <c r="AB5" i="19"/>
  <c r="AA5" i="19"/>
  <c r="Z5" i="19"/>
  <c r="Y5" i="19"/>
  <c r="X5" i="19"/>
  <c r="W5" i="19"/>
  <c r="V5" i="19"/>
  <c r="U5" i="19"/>
  <c r="T5" i="19"/>
  <c r="S5" i="19"/>
  <c r="Q5" i="19"/>
  <c r="AB4" i="19"/>
  <c r="AA4" i="19"/>
  <c r="Z4" i="19"/>
  <c r="Y4" i="19"/>
  <c r="X4" i="19"/>
  <c r="W4" i="19"/>
  <c r="V4" i="19"/>
  <c r="U4" i="19"/>
  <c r="T4" i="19"/>
  <c r="S4" i="19"/>
  <c r="Q4" i="19"/>
  <c r="B72" i="19"/>
  <c r="B71" i="19"/>
  <c r="B70" i="19"/>
  <c r="B69" i="19"/>
  <c r="B68" i="19"/>
  <c r="B67" i="19"/>
  <c r="B66" i="19"/>
  <c r="B65" i="19"/>
  <c r="B64" i="19"/>
  <c r="B63" i="19"/>
  <c r="B62" i="19"/>
  <c r="B61" i="19"/>
  <c r="B60" i="19"/>
  <c r="B59" i="19"/>
  <c r="B58" i="19"/>
  <c r="B57" i="19"/>
  <c r="B55" i="19"/>
  <c r="B54" i="19"/>
  <c r="B53" i="19"/>
  <c r="B52" i="19"/>
  <c r="B51" i="19"/>
  <c r="B50" i="19"/>
  <c r="B49" i="19"/>
  <c r="B48" i="19"/>
  <c r="B47" i="19"/>
  <c r="B46" i="19"/>
  <c r="B45" i="19"/>
  <c r="B44" i="19"/>
  <c r="B43" i="19"/>
  <c r="B42" i="19"/>
  <c r="B41" i="19"/>
  <c r="B40" i="19"/>
  <c r="B36" i="19"/>
  <c r="B35" i="19"/>
  <c r="B34" i="19"/>
  <c r="B33" i="19"/>
  <c r="B32" i="19"/>
  <c r="B31" i="19"/>
  <c r="B30" i="19"/>
  <c r="B29" i="19"/>
  <c r="B28" i="19"/>
  <c r="B27" i="19"/>
  <c r="B26" i="19"/>
  <c r="B25" i="19"/>
  <c r="B24" i="19"/>
  <c r="B23" i="19"/>
  <c r="B22" i="19"/>
  <c r="M21" i="19"/>
  <c r="L21" i="19"/>
  <c r="K21" i="19"/>
  <c r="J21" i="19"/>
  <c r="I21" i="19"/>
  <c r="H21" i="19"/>
  <c r="G21" i="19"/>
  <c r="F21" i="19"/>
  <c r="D21" i="19"/>
  <c r="B21" i="19"/>
  <c r="M19" i="19"/>
  <c r="L19" i="19"/>
  <c r="K19" i="19"/>
  <c r="J19" i="19"/>
  <c r="I19" i="19"/>
  <c r="H19" i="19"/>
  <c r="G19" i="19"/>
  <c r="F19" i="19"/>
  <c r="E19" i="19"/>
  <c r="D19" i="19"/>
  <c r="B19" i="19"/>
  <c r="M18" i="19"/>
  <c r="L18" i="19"/>
  <c r="K18" i="19"/>
  <c r="J18" i="19"/>
  <c r="I18" i="19"/>
  <c r="H18" i="19"/>
  <c r="G18" i="19"/>
  <c r="F18" i="19"/>
  <c r="E18" i="19"/>
  <c r="D18" i="19"/>
  <c r="B18" i="19"/>
  <c r="M17" i="19"/>
  <c r="L17" i="19"/>
  <c r="K17" i="19"/>
  <c r="J17" i="19"/>
  <c r="I17" i="19"/>
  <c r="H17" i="19"/>
  <c r="G17" i="19"/>
  <c r="F17" i="19"/>
  <c r="E17" i="19"/>
  <c r="D17" i="19"/>
  <c r="B17" i="19"/>
  <c r="M16" i="19"/>
  <c r="L16" i="19"/>
  <c r="K16" i="19"/>
  <c r="J16" i="19"/>
  <c r="I16" i="19"/>
  <c r="H16" i="19"/>
  <c r="G16" i="19"/>
  <c r="F16" i="19"/>
  <c r="E16" i="19"/>
  <c r="D16" i="19"/>
  <c r="B16" i="19"/>
  <c r="M15" i="19"/>
  <c r="L15" i="19"/>
  <c r="K15" i="19"/>
  <c r="J15" i="19"/>
  <c r="I15" i="19"/>
  <c r="H15" i="19"/>
  <c r="G15" i="19"/>
  <c r="F15" i="19"/>
  <c r="E15" i="19"/>
  <c r="D15" i="19"/>
  <c r="B15" i="19"/>
  <c r="M14" i="19"/>
  <c r="L14" i="19"/>
  <c r="K14" i="19"/>
  <c r="J14" i="19"/>
  <c r="I14" i="19"/>
  <c r="H14" i="19"/>
  <c r="G14" i="19"/>
  <c r="F14" i="19"/>
  <c r="E14" i="19"/>
  <c r="D14" i="19"/>
  <c r="B14" i="19"/>
  <c r="M13" i="19"/>
  <c r="L13" i="19"/>
  <c r="K13" i="19"/>
  <c r="J13" i="19"/>
  <c r="I13" i="19"/>
  <c r="H13" i="19"/>
  <c r="G13" i="19"/>
  <c r="F13" i="19"/>
  <c r="E13" i="19"/>
  <c r="D13" i="19"/>
  <c r="B13" i="19"/>
  <c r="M12" i="19"/>
  <c r="L12" i="19"/>
  <c r="K12" i="19"/>
  <c r="J12" i="19"/>
  <c r="I12" i="19"/>
  <c r="H12" i="19"/>
  <c r="G12" i="19"/>
  <c r="F12" i="19"/>
  <c r="E12" i="19"/>
  <c r="D12" i="19"/>
  <c r="B12" i="19"/>
  <c r="M11" i="19"/>
  <c r="L11" i="19"/>
  <c r="K11" i="19"/>
  <c r="J11" i="19"/>
  <c r="I11" i="19"/>
  <c r="H11" i="19"/>
  <c r="G11" i="19"/>
  <c r="F11" i="19"/>
  <c r="E11" i="19"/>
  <c r="D11" i="19"/>
  <c r="B11" i="19"/>
  <c r="M10" i="19"/>
  <c r="L10" i="19"/>
  <c r="K10" i="19"/>
  <c r="J10" i="19"/>
  <c r="I10" i="19"/>
  <c r="H10" i="19"/>
  <c r="G10" i="19"/>
  <c r="F10" i="19"/>
  <c r="E10" i="19"/>
  <c r="D10" i="19"/>
  <c r="B10" i="19"/>
  <c r="M9" i="19"/>
  <c r="L9" i="19"/>
  <c r="K9" i="19"/>
  <c r="J9" i="19"/>
  <c r="I9" i="19"/>
  <c r="H9" i="19"/>
  <c r="G9" i="19"/>
  <c r="F9" i="19"/>
  <c r="E9" i="19"/>
  <c r="D9" i="19"/>
  <c r="B9" i="19"/>
  <c r="M8" i="19"/>
  <c r="L8" i="19"/>
  <c r="K8" i="19"/>
  <c r="J8" i="19"/>
  <c r="I8" i="19"/>
  <c r="H8" i="19"/>
  <c r="G8" i="19"/>
  <c r="F8" i="19"/>
  <c r="E8" i="19"/>
  <c r="D8" i="19"/>
  <c r="B8" i="19"/>
  <c r="M7" i="19"/>
  <c r="L7" i="19"/>
  <c r="K7" i="19"/>
  <c r="J7" i="19"/>
  <c r="I7" i="19"/>
  <c r="H7" i="19"/>
  <c r="G7" i="19"/>
  <c r="F7" i="19"/>
  <c r="E7" i="19"/>
  <c r="D7" i="19"/>
  <c r="B7" i="19"/>
  <c r="M6" i="19"/>
  <c r="L6" i="19"/>
  <c r="K6" i="19"/>
  <c r="J6" i="19"/>
  <c r="I6" i="19"/>
  <c r="H6" i="19"/>
  <c r="G6" i="19"/>
  <c r="F6" i="19"/>
  <c r="E6" i="19"/>
  <c r="D6" i="19"/>
  <c r="B6" i="19"/>
  <c r="M5" i="19"/>
  <c r="L5" i="19"/>
  <c r="K5" i="19"/>
  <c r="J5" i="19"/>
  <c r="I5" i="19"/>
  <c r="H5" i="19"/>
  <c r="G5" i="19"/>
  <c r="F5" i="19"/>
  <c r="E5" i="19"/>
  <c r="D5" i="19"/>
  <c r="B5" i="19"/>
  <c r="M4" i="19"/>
  <c r="L4" i="19"/>
  <c r="K4" i="19"/>
  <c r="J4" i="19"/>
  <c r="I4" i="19"/>
  <c r="H4" i="19"/>
  <c r="G4" i="19"/>
  <c r="F4" i="19"/>
  <c r="E4" i="19"/>
  <c r="D4" i="19"/>
  <c r="B4" i="19"/>
  <c r="AA37" i="19" l="1"/>
  <c r="Y37" i="19"/>
  <c r="AB37" i="19"/>
  <c r="D37" i="19"/>
  <c r="Z37" i="19"/>
  <c r="N87" i="19"/>
  <c r="N91" i="19"/>
  <c r="N90" i="19"/>
  <c r="N89" i="19"/>
  <c r="N88" i="19"/>
  <c r="N86" i="19"/>
  <c r="N93" i="19"/>
  <c r="N78" i="19"/>
  <c r="N84" i="19"/>
  <c r="N82" i="19"/>
  <c r="N85" i="19"/>
  <c r="N81" i="19"/>
  <c r="N83" i="19"/>
  <c r="N77" i="19"/>
  <c r="N80" i="19"/>
  <c r="N79" i="19"/>
  <c r="N12" i="19"/>
  <c r="N4" i="19"/>
  <c r="AC77" i="19"/>
  <c r="AC76" i="19"/>
  <c r="N31" i="19"/>
  <c r="N7" i="19"/>
  <c r="N6" i="19"/>
  <c r="AC5" i="19"/>
  <c r="N27" i="19"/>
  <c r="N28" i="19"/>
  <c r="N29" i="19"/>
  <c r="N30" i="19"/>
  <c r="N97" i="19"/>
  <c r="N98" i="19"/>
  <c r="N26" i="19"/>
  <c r="AC4" i="19"/>
  <c r="N24" i="19"/>
  <c r="N96" i="19"/>
  <c r="N23" i="19"/>
  <c r="N22" i="19"/>
  <c r="AC6" i="19"/>
  <c r="N9" i="19"/>
  <c r="N19" i="19"/>
  <c r="N21" i="19"/>
  <c r="N95" i="19"/>
  <c r="N76" i="19"/>
  <c r="N36" i="19"/>
  <c r="N35" i="19"/>
  <c r="N34" i="19"/>
  <c r="N33" i="19"/>
  <c r="N32" i="19"/>
  <c r="N15" i="19"/>
  <c r="N16" i="19"/>
  <c r="N17" i="19"/>
  <c r="N18" i="19"/>
  <c r="N14" i="19"/>
  <c r="N13" i="19"/>
  <c r="N8" i="19"/>
  <c r="N10" i="19"/>
  <c r="N11" i="19"/>
  <c r="N5" i="19"/>
  <c r="E4" i="2" l="1"/>
  <c r="AP28" i="4" l="1"/>
  <c r="J73" i="4" l="1"/>
  <c r="H75" i="4" l="1"/>
  <c r="H76" i="4"/>
  <c r="H74" i="4"/>
  <c r="H57" i="4"/>
  <c r="H58" i="4"/>
  <c r="H59" i="4"/>
  <c r="H60" i="4"/>
  <c r="H61" i="4"/>
  <c r="H62" i="4"/>
  <c r="H63" i="4"/>
  <c r="H64" i="4"/>
  <c r="H65" i="4"/>
  <c r="H66" i="4"/>
  <c r="H67" i="4"/>
  <c r="H68" i="4"/>
  <c r="H69" i="4"/>
  <c r="H70" i="4"/>
  <c r="H71" i="4"/>
  <c r="H56" i="4"/>
  <c r="H39" i="4"/>
  <c r="H40" i="4"/>
  <c r="H38" i="4"/>
  <c r="AK38" i="4" s="1"/>
  <c r="AN75" i="4" l="1"/>
  <c r="AN76" i="4"/>
  <c r="AN74" i="4"/>
  <c r="AN57" i="4"/>
  <c r="AN58" i="4"/>
  <c r="W24" i="22" s="1"/>
  <c r="AN59" i="4"/>
  <c r="W25" i="22" s="1"/>
  <c r="AN60" i="4"/>
  <c r="W26" i="22" s="1"/>
  <c r="AN61" i="4"/>
  <c r="W27" i="22" s="1"/>
  <c r="AN62" i="4"/>
  <c r="W28" i="22" s="1"/>
  <c r="AN63" i="4"/>
  <c r="W29" i="22" s="1"/>
  <c r="AN64" i="4"/>
  <c r="W30" i="22" s="1"/>
  <c r="AN65" i="4"/>
  <c r="W31" i="22" s="1"/>
  <c r="AN66" i="4"/>
  <c r="W32" i="22" s="1"/>
  <c r="AN67" i="4"/>
  <c r="W33" i="22" s="1"/>
  <c r="AN68" i="4"/>
  <c r="W34" i="22" s="1"/>
  <c r="AN69" i="4"/>
  <c r="W35" i="22" s="1"/>
  <c r="AN70" i="4"/>
  <c r="W36" i="22" s="1"/>
  <c r="AN71" i="4"/>
  <c r="AN56" i="4"/>
  <c r="W22" i="22" s="1"/>
  <c r="AN39" i="4"/>
  <c r="AN40" i="4"/>
  <c r="AN38" i="4"/>
  <c r="AK75" i="4"/>
  <c r="AK76" i="4"/>
  <c r="AK74" i="4"/>
  <c r="AK57" i="4"/>
  <c r="AK58" i="4"/>
  <c r="U24" i="22" s="1"/>
  <c r="AK59" i="4"/>
  <c r="U25" i="22" s="1"/>
  <c r="AK60" i="4"/>
  <c r="U26" i="22" s="1"/>
  <c r="AK61" i="4"/>
  <c r="U27" i="22" s="1"/>
  <c r="AK62" i="4"/>
  <c r="U28" i="22" s="1"/>
  <c r="AK63" i="4"/>
  <c r="U29" i="22" s="1"/>
  <c r="AK64" i="4"/>
  <c r="U30" i="22" s="1"/>
  <c r="AK65" i="4"/>
  <c r="U31" i="22" s="1"/>
  <c r="AK66" i="4"/>
  <c r="U32" i="22" s="1"/>
  <c r="AK67" i="4"/>
  <c r="U33" i="22" s="1"/>
  <c r="AK68" i="4"/>
  <c r="U34" i="22" s="1"/>
  <c r="AK69" i="4"/>
  <c r="U35" i="22" s="1"/>
  <c r="AK70" i="4"/>
  <c r="U36" i="22" s="1"/>
  <c r="AK71" i="4"/>
  <c r="AK56" i="4"/>
  <c r="U22" i="22" s="1"/>
  <c r="AK39" i="4"/>
  <c r="AK40" i="4"/>
  <c r="AH75" i="4"/>
  <c r="AH76" i="4"/>
  <c r="AH74" i="4"/>
  <c r="AH67" i="4"/>
  <c r="S33" i="22" s="1"/>
  <c r="AH68" i="4"/>
  <c r="S34" i="22" s="1"/>
  <c r="AH69" i="4"/>
  <c r="S35" i="22" s="1"/>
  <c r="AH70" i="4"/>
  <c r="S36" i="22" s="1"/>
  <c r="AH71" i="4"/>
  <c r="AH57" i="4"/>
  <c r="AH58" i="4"/>
  <c r="S24" i="22" s="1"/>
  <c r="AH59" i="4"/>
  <c r="S25" i="22" s="1"/>
  <c r="AH60" i="4"/>
  <c r="S26" i="22" s="1"/>
  <c r="AH61" i="4"/>
  <c r="S27" i="22" s="1"/>
  <c r="AH62" i="4"/>
  <c r="S28" i="22" s="1"/>
  <c r="AH63" i="4"/>
  <c r="S29" i="22" s="1"/>
  <c r="AH64" i="4"/>
  <c r="S30" i="22" s="1"/>
  <c r="AH65" i="4"/>
  <c r="S31" i="22" s="1"/>
  <c r="AH66" i="4"/>
  <c r="S32" i="22" s="1"/>
  <c r="AH56" i="4"/>
  <c r="S22" i="22" s="1"/>
  <c r="AH39" i="4"/>
  <c r="AH40" i="4"/>
  <c r="AH38" i="4"/>
  <c r="AE75" i="4"/>
  <c r="AE76" i="4"/>
  <c r="AE74" i="4"/>
  <c r="AE57" i="4"/>
  <c r="AE58" i="4"/>
  <c r="Q24" i="22" s="1"/>
  <c r="AE59" i="4"/>
  <c r="Q25" i="22" s="1"/>
  <c r="AE60" i="4"/>
  <c r="Q26" i="22" s="1"/>
  <c r="AE61" i="4"/>
  <c r="Q27" i="22" s="1"/>
  <c r="AE62" i="4"/>
  <c r="Q28" i="22" s="1"/>
  <c r="AE63" i="4"/>
  <c r="Q29" i="22" s="1"/>
  <c r="AE64" i="4"/>
  <c r="Q30" i="22" s="1"/>
  <c r="AE65" i="4"/>
  <c r="Q31" i="22" s="1"/>
  <c r="AE66" i="4"/>
  <c r="Q32" i="22" s="1"/>
  <c r="AE67" i="4"/>
  <c r="Q33" i="22" s="1"/>
  <c r="AE68" i="4"/>
  <c r="Q34" i="22" s="1"/>
  <c r="AE69" i="4"/>
  <c r="Q35" i="22" s="1"/>
  <c r="AE70" i="4"/>
  <c r="Q36" i="22" s="1"/>
  <c r="AE71" i="4"/>
  <c r="AE56" i="4"/>
  <c r="Q22" i="22" s="1"/>
  <c r="AE39" i="4"/>
  <c r="AE40" i="4"/>
  <c r="AE38" i="4"/>
  <c r="AB75" i="4"/>
  <c r="AB76" i="4"/>
  <c r="AB74" i="4"/>
  <c r="AB57" i="4"/>
  <c r="AB58" i="4"/>
  <c r="O24" i="22" s="1"/>
  <c r="AB59" i="4"/>
  <c r="O25" i="22" s="1"/>
  <c r="AB60" i="4"/>
  <c r="O26" i="22" s="1"/>
  <c r="AB61" i="4"/>
  <c r="O27" i="22" s="1"/>
  <c r="AB62" i="4"/>
  <c r="O28" i="22" s="1"/>
  <c r="AB63" i="4"/>
  <c r="O29" i="22" s="1"/>
  <c r="AB64" i="4"/>
  <c r="O30" i="22" s="1"/>
  <c r="AB65" i="4"/>
  <c r="O31" i="22" s="1"/>
  <c r="AB66" i="4"/>
  <c r="O32" i="22" s="1"/>
  <c r="AB67" i="4"/>
  <c r="O33" i="22" s="1"/>
  <c r="AB68" i="4"/>
  <c r="O34" i="22" s="1"/>
  <c r="AB69" i="4"/>
  <c r="O35" i="22" s="1"/>
  <c r="AB70" i="4"/>
  <c r="O36" i="22" s="1"/>
  <c r="AB71" i="4"/>
  <c r="AB56" i="4"/>
  <c r="O22" i="22" s="1"/>
  <c r="AB39" i="4"/>
  <c r="AB40" i="4"/>
  <c r="AB38" i="4"/>
  <c r="Y75" i="4"/>
  <c r="Y76" i="4"/>
  <c r="Y74" i="4"/>
  <c r="Y57" i="4"/>
  <c r="M23" i="22" s="1"/>
  <c r="Y58" i="4"/>
  <c r="M24" i="22" s="1"/>
  <c r="Y59" i="4"/>
  <c r="M25" i="22" s="1"/>
  <c r="Y60" i="4"/>
  <c r="M26" i="22" s="1"/>
  <c r="Y61" i="4"/>
  <c r="M27" i="22" s="1"/>
  <c r="Y62" i="4"/>
  <c r="M28" i="22" s="1"/>
  <c r="Y63" i="4"/>
  <c r="M29" i="22" s="1"/>
  <c r="Y64" i="4"/>
  <c r="M30" i="22" s="1"/>
  <c r="Y65" i="4"/>
  <c r="M31" i="22" s="1"/>
  <c r="Y66" i="4"/>
  <c r="M32" i="22" s="1"/>
  <c r="Y67" i="4"/>
  <c r="M33" i="22" s="1"/>
  <c r="Y68" i="4"/>
  <c r="M34" i="22" s="1"/>
  <c r="Y69" i="4"/>
  <c r="M35" i="22" s="1"/>
  <c r="Y70" i="4"/>
  <c r="M36" i="22" s="1"/>
  <c r="Y71" i="4"/>
  <c r="M37" i="22" s="1"/>
  <c r="Y56" i="4"/>
  <c r="M22" i="22" s="1"/>
  <c r="Y39" i="4"/>
  <c r="Y40" i="4"/>
  <c r="Y38" i="4"/>
  <c r="V75" i="4"/>
  <c r="V76" i="4"/>
  <c r="V74" i="4"/>
  <c r="V57" i="4"/>
  <c r="K23" i="22" s="1"/>
  <c r="V58" i="4"/>
  <c r="K24" i="22" s="1"/>
  <c r="V59" i="4"/>
  <c r="K25" i="22" s="1"/>
  <c r="V60" i="4"/>
  <c r="K26" i="22" s="1"/>
  <c r="V61" i="4"/>
  <c r="K27" i="22" s="1"/>
  <c r="V62" i="4"/>
  <c r="K28" i="22" s="1"/>
  <c r="V63" i="4"/>
  <c r="K29" i="22" s="1"/>
  <c r="V64" i="4"/>
  <c r="K30" i="22" s="1"/>
  <c r="V65" i="4"/>
  <c r="K31" i="22" s="1"/>
  <c r="V66" i="4"/>
  <c r="K32" i="22" s="1"/>
  <c r="V67" i="4"/>
  <c r="K33" i="22" s="1"/>
  <c r="V68" i="4"/>
  <c r="K34" i="22" s="1"/>
  <c r="V69" i="4"/>
  <c r="K35" i="22" s="1"/>
  <c r="V70" i="4"/>
  <c r="K36" i="22" s="1"/>
  <c r="V71" i="4"/>
  <c r="K37" i="22" s="1"/>
  <c r="V56" i="4"/>
  <c r="K22" i="22" s="1"/>
  <c r="V39" i="4"/>
  <c r="V40" i="4"/>
  <c r="V38" i="4"/>
  <c r="S75" i="4"/>
  <c r="S76" i="4"/>
  <c r="S74" i="4"/>
  <c r="S57" i="4"/>
  <c r="I23" i="22" s="1"/>
  <c r="S58" i="4"/>
  <c r="I24" i="22" s="1"/>
  <c r="S59" i="4"/>
  <c r="I25" i="22" s="1"/>
  <c r="S60" i="4"/>
  <c r="I26" i="22" s="1"/>
  <c r="S61" i="4"/>
  <c r="I27" i="22" s="1"/>
  <c r="S62" i="4"/>
  <c r="I28" i="22" s="1"/>
  <c r="S63" i="4"/>
  <c r="I29" i="22" s="1"/>
  <c r="S64" i="4"/>
  <c r="I30" i="22" s="1"/>
  <c r="S65" i="4"/>
  <c r="I31" i="22" s="1"/>
  <c r="S66" i="4"/>
  <c r="I32" i="22" s="1"/>
  <c r="S67" i="4"/>
  <c r="I33" i="22" s="1"/>
  <c r="S68" i="4"/>
  <c r="I34" i="22" s="1"/>
  <c r="S69" i="4"/>
  <c r="I35" i="22" s="1"/>
  <c r="S70" i="4"/>
  <c r="I36" i="22" s="1"/>
  <c r="S71" i="4"/>
  <c r="I37" i="22" s="1"/>
  <c r="S56" i="4"/>
  <c r="I22" i="22" s="1"/>
  <c r="S39" i="4"/>
  <c r="S40" i="4"/>
  <c r="S38" i="4"/>
  <c r="P75" i="4"/>
  <c r="P76" i="4"/>
  <c r="P74" i="4"/>
  <c r="P57" i="4"/>
  <c r="G23" i="22" s="1"/>
  <c r="P58" i="4"/>
  <c r="G24" i="22" s="1"/>
  <c r="P59" i="4"/>
  <c r="G25" i="22" s="1"/>
  <c r="P60" i="4"/>
  <c r="G26" i="22" s="1"/>
  <c r="P61" i="4"/>
  <c r="G27" i="22" s="1"/>
  <c r="P62" i="4"/>
  <c r="G28" i="22" s="1"/>
  <c r="P63" i="4"/>
  <c r="G29" i="22" s="1"/>
  <c r="P64" i="4"/>
  <c r="G30" i="22" s="1"/>
  <c r="P65" i="4"/>
  <c r="G31" i="22" s="1"/>
  <c r="P66" i="4"/>
  <c r="G32" i="22" s="1"/>
  <c r="P67" i="4"/>
  <c r="G33" i="22" s="1"/>
  <c r="P68" i="4"/>
  <c r="G34" i="22" s="1"/>
  <c r="P69" i="4"/>
  <c r="G35" i="22" s="1"/>
  <c r="P70" i="4"/>
  <c r="G36" i="22" s="1"/>
  <c r="P71" i="4"/>
  <c r="G37" i="22" s="1"/>
  <c r="P56" i="4"/>
  <c r="G22" i="22" s="1"/>
  <c r="P40" i="4"/>
  <c r="P39" i="4"/>
  <c r="M38" i="4"/>
  <c r="M39" i="4"/>
  <c r="M40" i="4"/>
  <c r="M56" i="4"/>
  <c r="E22" i="22" s="1"/>
  <c r="M57" i="4"/>
  <c r="E23" i="22" s="1"/>
  <c r="M58" i="4"/>
  <c r="E24" i="22" s="1"/>
  <c r="M59" i="4"/>
  <c r="E25" i="22" s="1"/>
  <c r="M60" i="4"/>
  <c r="E26" i="22" s="1"/>
  <c r="M61" i="4"/>
  <c r="E27" i="22" s="1"/>
  <c r="M62" i="4"/>
  <c r="E28" i="22" s="1"/>
  <c r="M63" i="4"/>
  <c r="E29" i="22" s="1"/>
  <c r="M64" i="4"/>
  <c r="E30" i="22" s="1"/>
  <c r="M65" i="4"/>
  <c r="E31" i="22" s="1"/>
  <c r="M66" i="4"/>
  <c r="E32" i="22" s="1"/>
  <c r="M67" i="4"/>
  <c r="E33" i="22" s="1"/>
  <c r="M68" i="4"/>
  <c r="E34" i="22" s="1"/>
  <c r="M69" i="4"/>
  <c r="E35" i="22" s="1"/>
  <c r="M70" i="4"/>
  <c r="E36" i="22" s="1"/>
  <c r="M71" i="4"/>
  <c r="E37" i="22" s="1"/>
  <c r="M74" i="4"/>
  <c r="M75" i="4"/>
  <c r="M76" i="4"/>
  <c r="P38" i="4"/>
  <c r="O23" i="22" l="1"/>
  <c r="O37" i="22"/>
  <c r="S23" i="22"/>
  <c r="S37" i="22"/>
  <c r="W23" i="22"/>
  <c r="W37" i="22"/>
  <c r="U23" i="22"/>
  <c r="U37" i="22"/>
  <c r="Q23" i="22"/>
  <c r="Q37" i="22"/>
  <c r="M90" i="4"/>
  <c r="AN54" i="4"/>
  <c r="V54" i="4"/>
  <c r="AE90" i="4"/>
  <c r="Y90" i="4"/>
  <c r="S54" i="4"/>
  <c r="AN90" i="4"/>
  <c r="P54" i="4"/>
  <c r="Y54" i="4"/>
  <c r="AH54" i="4"/>
  <c r="AK54" i="4"/>
  <c r="AE54" i="4"/>
  <c r="M54" i="4"/>
  <c r="AB54" i="4"/>
  <c r="M72" i="4"/>
  <c r="P72" i="4"/>
  <c r="P90" i="4"/>
  <c r="AH90" i="4"/>
  <c r="AB90" i="4"/>
  <c r="S90" i="4"/>
  <c r="V90" i="4"/>
  <c r="AK90" i="4"/>
  <c r="AQ60" i="4"/>
  <c r="AT60" i="4" s="1"/>
  <c r="AQ58" i="4"/>
  <c r="AT58" i="4" s="1"/>
  <c r="AQ71" i="4"/>
  <c r="AT71" i="4" s="1"/>
  <c r="AQ70" i="4"/>
  <c r="AT70" i="4" s="1"/>
  <c r="AQ69" i="4"/>
  <c r="AT69" i="4" s="1"/>
  <c r="AQ67" i="4"/>
  <c r="AT67" i="4" s="1"/>
  <c r="AQ66" i="4"/>
  <c r="AT66" i="4" s="1"/>
  <c r="AQ68" i="4"/>
  <c r="AT68" i="4" s="1"/>
  <c r="AQ74" i="4"/>
  <c r="AQ76" i="4"/>
  <c r="AT76" i="4" s="1"/>
  <c r="AQ75" i="4"/>
  <c r="AT75" i="4" s="1"/>
  <c r="AQ65" i="4"/>
  <c r="AT65" i="4" s="1"/>
  <c r="AQ57" i="4"/>
  <c r="AT57" i="4" s="1"/>
  <c r="AQ59" i="4"/>
  <c r="AT59" i="4" s="1"/>
  <c r="AQ56" i="4"/>
  <c r="AQ61" i="4"/>
  <c r="AT61" i="4" s="1"/>
  <c r="AQ63" i="4"/>
  <c r="AT63" i="4" s="1"/>
  <c r="AQ62" i="4"/>
  <c r="AT62" i="4" s="1"/>
  <c r="AQ64" i="4"/>
  <c r="AT64" i="4" s="1"/>
  <c r="AQ40" i="4"/>
  <c r="AT40" i="4" s="1"/>
  <c r="AQ38" i="4"/>
  <c r="AQ39" i="4"/>
  <c r="AT39" i="4" s="1"/>
  <c r="AN72" i="4"/>
  <c r="AK72" i="4"/>
  <c r="AH72" i="4"/>
  <c r="V72" i="4"/>
  <c r="S72" i="4"/>
  <c r="AE72" i="4"/>
  <c r="AB72" i="4"/>
  <c r="Y72" i="4"/>
  <c r="M91" i="4" l="1"/>
  <c r="AQ72" i="4"/>
  <c r="AT72" i="4" s="1"/>
  <c r="AQ54" i="4"/>
  <c r="AT54" i="4" s="1"/>
  <c r="AQ90" i="4"/>
  <c r="V91" i="4"/>
  <c r="AB91" i="4"/>
  <c r="AN91" i="4"/>
  <c r="S91" i="4"/>
  <c r="AK91" i="4"/>
  <c r="AH91" i="4"/>
  <c r="P91" i="4"/>
  <c r="Y91" i="4"/>
  <c r="AE91" i="4"/>
  <c r="AT56" i="4"/>
  <c r="AT38" i="4"/>
  <c r="AT74" i="4"/>
  <c r="I37" i="4"/>
  <c r="I55" i="4"/>
  <c r="I73" i="4"/>
  <c r="G21" i="4"/>
  <c r="G22" i="4"/>
  <c r="AQ91" i="4" l="1"/>
  <c r="AT91" i="4" s="1"/>
  <c r="AT90" i="4"/>
  <c r="E7" i="2"/>
  <c r="E6" i="2"/>
  <c r="E5" i="2"/>
  <c r="E3" i="2"/>
  <c r="H6" i="4" s="1"/>
  <c r="F73" i="4" l="1"/>
  <c r="F55" i="4"/>
  <c r="F37" i="4"/>
  <c r="H28" i="4" l="1"/>
  <c r="H29" i="4"/>
  <c r="H30" i="4"/>
  <c r="H31" i="4"/>
  <c r="H32" i="4"/>
  <c r="H33" i="4"/>
  <c r="H34" i="4"/>
  <c r="H35" i="4"/>
  <c r="G35" i="4"/>
  <c r="G34" i="4"/>
  <c r="G33" i="4"/>
  <c r="G32" i="4"/>
  <c r="G31" i="4"/>
  <c r="G30" i="4"/>
  <c r="G29" i="4"/>
  <c r="G28" i="4"/>
  <c r="G27" i="4"/>
  <c r="G26" i="4"/>
  <c r="G25" i="4"/>
  <c r="G24" i="4"/>
  <c r="G23" i="4"/>
  <c r="H21" i="4"/>
  <c r="H22" i="4"/>
  <c r="H23" i="4"/>
  <c r="H24" i="4"/>
  <c r="H25" i="4"/>
  <c r="H26" i="4"/>
  <c r="H27" i="4"/>
  <c r="AN27" i="4" s="1"/>
  <c r="W12" i="22" s="1"/>
  <c r="H20" i="4"/>
  <c r="J37" i="4"/>
  <c r="AP76" i="4"/>
  <c r="AP75" i="4"/>
  <c r="AP74" i="4"/>
  <c r="AP90" i="4" l="1"/>
  <c r="M20" i="4"/>
  <c r="E5" i="22" s="1"/>
  <c r="Y20" i="4"/>
  <c r="M5" i="22" s="1"/>
  <c r="AP18" i="4"/>
  <c r="V33" i="4"/>
  <c r="K18" i="22" s="1"/>
  <c r="AN33" i="4"/>
  <c r="W18" i="22" s="1"/>
  <c r="AE33" i="4"/>
  <c r="Q18" i="22" s="1"/>
  <c r="P33" i="4"/>
  <c r="G18" i="22" s="1"/>
  <c r="M33" i="4"/>
  <c r="E18" i="22" s="1"/>
  <c r="S33" i="4"/>
  <c r="I18" i="22" s="1"/>
  <c r="AB33" i="4"/>
  <c r="O18" i="22" s="1"/>
  <c r="AH33" i="4"/>
  <c r="S18" i="22" s="1"/>
  <c r="Y33" i="4"/>
  <c r="M18" i="22" s="1"/>
  <c r="AK33" i="4"/>
  <c r="U18" i="22" s="1"/>
  <c r="AK20" i="4"/>
  <c r="U5" i="22" s="1"/>
  <c r="P20" i="4"/>
  <c r="G5" i="22" s="1"/>
  <c r="AN20" i="4"/>
  <c r="W5" i="22" s="1"/>
  <c r="AE20" i="4"/>
  <c r="Q5" i="22" s="1"/>
  <c r="AB20" i="4"/>
  <c r="O5" i="22" s="1"/>
  <c r="S20" i="4"/>
  <c r="I5" i="22" s="1"/>
  <c r="V20" i="4"/>
  <c r="K5" i="22" s="1"/>
  <c r="AH20" i="4"/>
  <c r="S5" i="22" s="1"/>
  <c r="V28" i="4"/>
  <c r="K13" i="22" s="1"/>
  <c r="AE28" i="4"/>
  <c r="Q13" i="22" s="1"/>
  <c r="S28" i="4"/>
  <c r="I13" i="22" s="1"/>
  <c r="AB28" i="4"/>
  <c r="O13" i="22" s="1"/>
  <c r="AH28" i="4"/>
  <c r="S13" i="22" s="1"/>
  <c r="AN28" i="4"/>
  <c r="W13" i="22" s="1"/>
  <c r="M28" i="4"/>
  <c r="E13" i="22" s="1"/>
  <c r="P28" i="4"/>
  <c r="G13" i="22" s="1"/>
  <c r="Y28" i="4"/>
  <c r="M13" i="22" s="1"/>
  <c r="AK28" i="4"/>
  <c r="U13" i="22" s="1"/>
  <c r="P23" i="4"/>
  <c r="G8" i="22" s="1"/>
  <c r="Y23" i="4"/>
  <c r="M8" i="22" s="1"/>
  <c r="AK23" i="4"/>
  <c r="U8" i="22" s="1"/>
  <c r="V23" i="4"/>
  <c r="K8" i="22" s="1"/>
  <c r="AN23" i="4"/>
  <c r="W8" i="22" s="1"/>
  <c r="AE23" i="4"/>
  <c r="Q8" i="22" s="1"/>
  <c r="M23" i="4"/>
  <c r="E8" i="22" s="1"/>
  <c r="S23" i="4"/>
  <c r="I8" i="22" s="1"/>
  <c r="AB23" i="4"/>
  <c r="O8" i="22" s="1"/>
  <c r="AH23" i="4"/>
  <c r="S8" i="22" s="1"/>
  <c r="V22" i="4"/>
  <c r="K7" i="22" s="1"/>
  <c r="AN22" i="4"/>
  <c r="W7" i="22" s="1"/>
  <c r="AE22" i="4"/>
  <c r="Q7" i="22" s="1"/>
  <c r="Y22" i="4"/>
  <c r="M7" i="22" s="1"/>
  <c r="M22" i="4"/>
  <c r="E7" i="22" s="1"/>
  <c r="AK22" i="4"/>
  <c r="U7" i="22" s="1"/>
  <c r="S22" i="4"/>
  <c r="I7" i="22" s="1"/>
  <c r="AB22" i="4"/>
  <c r="O7" i="22" s="1"/>
  <c r="P22" i="4"/>
  <c r="G7" i="22" s="1"/>
  <c r="AH22" i="4"/>
  <c r="S7" i="22" s="1"/>
  <c r="M32" i="4"/>
  <c r="E17" i="22" s="1"/>
  <c r="AB32" i="4"/>
  <c r="O17" i="22" s="1"/>
  <c r="Y32" i="4"/>
  <c r="M17" i="22" s="1"/>
  <c r="S32" i="4"/>
  <c r="I17" i="22" s="1"/>
  <c r="P32" i="4"/>
  <c r="G17" i="22" s="1"/>
  <c r="AK32" i="4"/>
  <c r="U17" i="22" s="1"/>
  <c r="AH32" i="4"/>
  <c r="S17" i="22" s="1"/>
  <c r="V32" i="4"/>
  <c r="K17" i="22" s="1"/>
  <c r="AN32" i="4"/>
  <c r="W17" i="22" s="1"/>
  <c r="AE32" i="4"/>
  <c r="Q17" i="22" s="1"/>
  <c r="S27" i="4"/>
  <c r="I12" i="22" s="1"/>
  <c r="AB27" i="4"/>
  <c r="O12" i="22" s="1"/>
  <c r="AH27" i="4"/>
  <c r="S12" i="22" s="1"/>
  <c r="AE27" i="4"/>
  <c r="Q12" i="22" s="1"/>
  <c r="M27" i="4"/>
  <c r="E12" i="22" s="1"/>
  <c r="P27" i="4"/>
  <c r="G12" i="22" s="1"/>
  <c r="V27" i="4"/>
  <c r="K12" i="22" s="1"/>
  <c r="Y27" i="4"/>
  <c r="M12" i="22" s="1"/>
  <c r="AK27" i="4"/>
  <c r="U12" i="22" s="1"/>
  <c r="P30" i="4"/>
  <c r="G15" i="22" s="1"/>
  <c r="Y30" i="4"/>
  <c r="M15" i="22" s="1"/>
  <c r="AK30" i="4"/>
  <c r="U15" i="22" s="1"/>
  <c r="AH30" i="4"/>
  <c r="S15" i="22" s="1"/>
  <c r="AN30" i="4"/>
  <c r="W15" i="22" s="1"/>
  <c r="AE30" i="4"/>
  <c r="Q15" i="22" s="1"/>
  <c r="S30" i="4"/>
  <c r="I15" i="22" s="1"/>
  <c r="AB30" i="4"/>
  <c r="O15" i="22" s="1"/>
  <c r="V30" i="4"/>
  <c r="K15" i="22" s="1"/>
  <c r="M30" i="4"/>
  <c r="E15" i="22" s="1"/>
  <c r="S25" i="4"/>
  <c r="I10" i="22" s="1"/>
  <c r="AB25" i="4"/>
  <c r="O10" i="22" s="1"/>
  <c r="AH25" i="4"/>
  <c r="S10" i="22" s="1"/>
  <c r="P25" i="4"/>
  <c r="G10" i="22" s="1"/>
  <c r="AK25" i="4"/>
  <c r="U10" i="22" s="1"/>
  <c r="V25" i="4"/>
  <c r="K10" i="22" s="1"/>
  <c r="AN25" i="4"/>
  <c r="W10" i="22" s="1"/>
  <c r="AE25" i="4"/>
  <c r="Q10" i="22" s="1"/>
  <c r="M25" i="4"/>
  <c r="E10" i="22" s="1"/>
  <c r="Y25" i="4"/>
  <c r="M10" i="22" s="1"/>
  <c r="Y29" i="4"/>
  <c r="M14" i="22" s="1"/>
  <c r="AK29" i="4"/>
  <c r="U14" i="22" s="1"/>
  <c r="V29" i="4"/>
  <c r="K14" i="22" s="1"/>
  <c r="AN29" i="4"/>
  <c r="W14" i="22" s="1"/>
  <c r="AE29" i="4"/>
  <c r="Q14" i="22" s="1"/>
  <c r="M29" i="4"/>
  <c r="E14" i="22" s="1"/>
  <c r="S29" i="4"/>
  <c r="I14" i="22" s="1"/>
  <c r="AB29" i="4"/>
  <c r="O14" i="22" s="1"/>
  <c r="AH29" i="4"/>
  <c r="S14" i="22" s="1"/>
  <c r="P29" i="4"/>
  <c r="G14" i="22" s="1"/>
  <c r="AN24" i="4"/>
  <c r="W9" i="22" s="1"/>
  <c r="AE24" i="4"/>
  <c r="Q9" i="22" s="1"/>
  <c r="P24" i="4"/>
  <c r="G9" i="22" s="1"/>
  <c r="V24" i="4"/>
  <c r="K9" i="22" s="1"/>
  <c r="Y24" i="4"/>
  <c r="M9" i="22" s="1"/>
  <c r="M24" i="4"/>
  <c r="E9" i="22" s="1"/>
  <c r="AK24" i="4"/>
  <c r="U9" i="22" s="1"/>
  <c r="S24" i="4"/>
  <c r="I9" i="22" s="1"/>
  <c r="AB24" i="4"/>
  <c r="O9" i="22" s="1"/>
  <c r="AH24" i="4"/>
  <c r="S9" i="22" s="1"/>
  <c r="V21" i="4"/>
  <c r="K6" i="22" s="1"/>
  <c r="AN21" i="4"/>
  <c r="AE21" i="4"/>
  <c r="M21" i="4"/>
  <c r="E6" i="22" s="1"/>
  <c r="S21" i="4"/>
  <c r="P21" i="4"/>
  <c r="AB21" i="4"/>
  <c r="AH21" i="4"/>
  <c r="Y21" i="4"/>
  <c r="AK21" i="4"/>
  <c r="AB31" i="4"/>
  <c r="O16" i="22" s="1"/>
  <c r="AH31" i="4"/>
  <c r="S16" i="22" s="1"/>
  <c r="P31" i="4"/>
  <c r="G16" i="22" s="1"/>
  <c r="Y31" i="4"/>
  <c r="M16" i="22" s="1"/>
  <c r="AK31" i="4"/>
  <c r="U16" i="22" s="1"/>
  <c r="S31" i="4"/>
  <c r="I16" i="22" s="1"/>
  <c r="V31" i="4"/>
  <c r="K16" i="22" s="1"/>
  <c r="AN31" i="4"/>
  <c r="W16" i="22" s="1"/>
  <c r="AE31" i="4"/>
  <c r="Q16" i="22" s="1"/>
  <c r="M31" i="4"/>
  <c r="E16" i="22" s="1"/>
  <c r="S26" i="4"/>
  <c r="I11" i="22" s="1"/>
  <c r="AB26" i="4"/>
  <c r="O11" i="22" s="1"/>
  <c r="AH26" i="4"/>
  <c r="S11" i="22" s="1"/>
  <c r="AN26" i="4"/>
  <c r="W11" i="22" s="1"/>
  <c r="AE26" i="4"/>
  <c r="Q11" i="22" s="1"/>
  <c r="Y26" i="4"/>
  <c r="M11" i="22" s="1"/>
  <c r="M26" i="4"/>
  <c r="E11" i="22" s="1"/>
  <c r="P26" i="4"/>
  <c r="G11" i="22" s="1"/>
  <c r="AK26" i="4"/>
  <c r="U11" i="22" s="1"/>
  <c r="V26" i="4"/>
  <c r="K11" i="22" s="1"/>
  <c r="V35" i="4"/>
  <c r="K20" i="22" s="1"/>
  <c r="AN35" i="4"/>
  <c r="W20" i="22" s="1"/>
  <c r="AE35" i="4"/>
  <c r="Q20" i="22" s="1"/>
  <c r="M35" i="4"/>
  <c r="E20" i="22" s="1"/>
  <c r="Y35" i="4"/>
  <c r="M20" i="22" s="1"/>
  <c r="P35" i="4"/>
  <c r="G20" i="22" s="1"/>
  <c r="AK35" i="4"/>
  <c r="U20" i="22" s="1"/>
  <c r="S35" i="4"/>
  <c r="I20" i="22" s="1"/>
  <c r="AB35" i="4"/>
  <c r="O20" i="22" s="1"/>
  <c r="AH35" i="4"/>
  <c r="S20" i="22" s="1"/>
  <c r="AB34" i="4"/>
  <c r="O19" i="22" s="1"/>
  <c r="V34" i="4"/>
  <c r="K19" i="22" s="1"/>
  <c r="AN34" i="4"/>
  <c r="W19" i="22" s="1"/>
  <c r="AE34" i="4"/>
  <c r="Q19" i="22" s="1"/>
  <c r="M34" i="4"/>
  <c r="E19" i="22" s="1"/>
  <c r="Y34" i="4"/>
  <c r="M19" i="22" s="1"/>
  <c r="S34" i="4"/>
  <c r="I19" i="22" s="1"/>
  <c r="AH34" i="4"/>
  <c r="S19" i="22" s="1"/>
  <c r="P34" i="4"/>
  <c r="G19" i="22" s="1"/>
  <c r="AK34" i="4"/>
  <c r="U19" i="22" s="1"/>
  <c r="AR124" i="4"/>
  <c r="AR123" i="4"/>
  <c r="AP40" i="4"/>
  <c r="AP39" i="4"/>
  <c r="AP38" i="4"/>
  <c r="AR95" i="4"/>
  <c r="G20" i="4"/>
  <c r="N155" i="4" s="1" a="1"/>
  <c r="N155" i="4" s="1"/>
  <c r="D66" i="22" s="1"/>
  <c r="M37" i="19"/>
  <c r="L37" i="19"/>
  <c r="K37" i="19"/>
  <c r="J37" i="19"/>
  <c r="I37" i="19"/>
  <c r="H37" i="19"/>
  <c r="F37" i="19"/>
  <c r="E37" i="19"/>
  <c r="J55" i="4"/>
  <c r="N1" i="4"/>
  <c r="AR116" i="4"/>
  <c r="AR117" i="4"/>
  <c r="AR114" i="4"/>
  <c r="AR115" i="4"/>
  <c r="AP63" i="4"/>
  <c r="AP64" i="4"/>
  <c r="AP65" i="4"/>
  <c r="AP66" i="4"/>
  <c r="AP67" i="4"/>
  <c r="AP68" i="4"/>
  <c r="AP69" i="4"/>
  <c r="AP70" i="4"/>
  <c r="AP71" i="4"/>
  <c r="AG36" i="4"/>
  <c r="AD36" i="4"/>
  <c r="AA36" i="4"/>
  <c r="X36" i="4"/>
  <c r="U36" i="4"/>
  <c r="R36" i="4"/>
  <c r="O36" i="4"/>
  <c r="L36" i="4"/>
  <c r="AP29" i="4"/>
  <c r="AP30" i="4"/>
  <c r="AP31" i="4"/>
  <c r="AP32" i="4"/>
  <c r="AP33" i="4"/>
  <c r="AP34" i="4"/>
  <c r="AP35" i="4"/>
  <c r="K55" i="4"/>
  <c r="AR104" i="4"/>
  <c r="AR103" i="4"/>
  <c r="AR102" i="4"/>
  <c r="AR101" i="4"/>
  <c r="AR100" i="4"/>
  <c r="AR99" i="4"/>
  <c r="AR98" i="4"/>
  <c r="AR97" i="4"/>
  <c r="AR96" i="4"/>
  <c r="AP57" i="4"/>
  <c r="AP58" i="4"/>
  <c r="AP59" i="4"/>
  <c r="AP60" i="4"/>
  <c r="AP61" i="4"/>
  <c r="AP62" i="4"/>
  <c r="AP56" i="4"/>
  <c r="AP27" i="4"/>
  <c r="AP26" i="4"/>
  <c r="AP25" i="4"/>
  <c r="AP24" i="4"/>
  <c r="AP23" i="4"/>
  <c r="AP22" i="4"/>
  <c r="AP21" i="4"/>
  <c r="AP20" i="4"/>
  <c r="AM72" i="4"/>
  <c r="AJ72" i="4"/>
  <c r="AJ92" i="4" s="1"/>
  <c r="AA72" i="4"/>
  <c r="Z119" i="4" l="1"/>
  <c r="L64" i="22" s="1"/>
  <c r="M6" i="22"/>
  <c r="AI119" i="4"/>
  <c r="R64" i="22" s="1"/>
  <c r="S6" i="22"/>
  <c r="AC119" i="4"/>
  <c r="N64" i="22" s="1"/>
  <c r="O6" i="22"/>
  <c r="Q119" i="4"/>
  <c r="F64" i="22" s="1"/>
  <c r="G6" i="22"/>
  <c r="AF119" i="4"/>
  <c r="P64" i="22" s="1"/>
  <c r="Q6" i="22"/>
  <c r="AO119" i="4"/>
  <c r="V64" i="22" s="1"/>
  <c r="W6" i="22"/>
  <c r="T119" i="4"/>
  <c r="H64" i="22" s="1"/>
  <c r="I6" i="22"/>
  <c r="AL119" i="4"/>
  <c r="T64" i="22" s="1"/>
  <c r="U6" i="22"/>
  <c r="N119" i="4"/>
  <c r="D64" i="22" s="1"/>
  <c r="W155" i="4" a="1"/>
  <c r="W155" i="4" s="1"/>
  <c r="J66" i="22" s="1"/>
  <c r="AO155" i="4" a="1"/>
  <c r="AO155" i="4" s="1"/>
  <c r="V66" i="22" s="1"/>
  <c r="AC155" i="4" a="1"/>
  <c r="AC155" i="4" s="1"/>
  <c r="N66" i="22" s="1"/>
  <c r="Q155" i="4" a="1"/>
  <c r="Q155" i="4" s="1"/>
  <c r="F66" i="22" s="1"/>
  <c r="T155" i="4" a="1"/>
  <c r="T155" i="4" s="1"/>
  <c r="H66" i="22" s="1"/>
  <c r="AI155" i="4" a="1"/>
  <c r="AI155" i="4" s="1"/>
  <c r="R66" i="22" s="1"/>
  <c r="AF155" i="4" a="1"/>
  <c r="AF155" i="4" s="1"/>
  <c r="P66" i="22" s="1"/>
  <c r="Z155" i="4" a="1"/>
  <c r="Z155" i="4" s="1"/>
  <c r="L66" i="22" s="1"/>
  <c r="AL155" i="4" a="1"/>
  <c r="AL155" i="4" s="1"/>
  <c r="T66" i="22" s="1"/>
  <c r="W119" i="4"/>
  <c r="O92" i="4"/>
  <c r="L92" i="4"/>
  <c r="AP54" i="4"/>
  <c r="AP91" i="4" s="1"/>
  <c r="AP36" i="4"/>
  <c r="AN36" i="4"/>
  <c r="AP72" i="4"/>
  <c r="AM92" i="4"/>
  <c r="AA92" i="4"/>
  <c r="O1" i="4"/>
  <c r="Q1" i="4" s="1"/>
  <c r="R1" i="4" s="1"/>
  <c r="T1" i="4" s="1"/>
  <c r="U1" i="4" s="1"/>
  <c r="W1" i="4" s="1"/>
  <c r="X1" i="4" s="1"/>
  <c r="Z1" i="4" s="1"/>
  <c r="AA1" i="4" s="1"/>
  <c r="AC1" i="4" s="1"/>
  <c r="AD1" i="4" s="1"/>
  <c r="AF1" i="4" s="1"/>
  <c r="AG1" i="4" s="1"/>
  <c r="AI1" i="4" s="1"/>
  <c r="AJ1" i="4" s="1"/>
  <c r="AL1" i="4" s="1"/>
  <c r="AM1" i="4" s="1"/>
  <c r="AO1" i="4" s="1"/>
  <c r="G37" i="19"/>
  <c r="N25" i="19"/>
  <c r="N37" i="19" s="1"/>
  <c r="AQ22" i="4"/>
  <c r="AT22" i="4" s="1"/>
  <c r="AQ31" i="4"/>
  <c r="AT31" i="4" s="1"/>
  <c r="AQ33" i="4"/>
  <c r="AT33" i="4" s="1"/>
  <c r="AQ30" i="4"/>
  <c r="AT30" i="4" s="1"/>
  <c r="AQ32" i="4"/>
  <c r="AT32" i="4" s="1"/>
  <c r="AQ35" i="4"/>
  <c r="AT35" i="4" s="1"/>
  <c r="AQ34" i="4"/>
  <c r="AT34" i="4" s="1"/>
  <c r="AQ20" i="4"/>
  <c r="AQ29" i="4"/>
  <c r="AT29" i="4" s="1"/>
  <c r="AQ28" i="4"/>
  <c r="AT28" i="4" s="1"/>
  <c r="AQ24" i="4"/>
  <c r="AT24" i="4" s="1"/>
  <c r="AQ21" i="4"/>
  <c r="AT21" i="4" s="1"/>
  <c r="AQ26" i="4"/>
  <c r="AT26" i="4" s="1"/>
  <c r="AQ25" i="4"/>
  <c r="AT25" i="4" s="1"/>
  <c r="AQ23" i="4"/>
  <c r="AT23" i="4" s="1"/>
  <c r="AQ27" i="4"/>
  <c r="AT27" i="4" s="1"/>
  <c r="AK36" i="4"/>
  <c r="AH36" i="4"/>
  <c r="V36" i="4"/>
  <c r="M36" i="4"/>
  <c r="S36" i="4"/>
  <c r="P36" i="4"/>
  <c r="AB36" i="4"/>
  <c r="AE36" i="4"/>
  <c r="Y36" i="4"/>
  <c r="N2" i="4"/>
  <c r="AD72" i="4"/>
  <c r="AD92" i="4" s="1"/>
  <c r="J64" i="22" l="1"/>
  <c r="AR155" i="4"/>
  <c r="Y92" i="4"/>
  <c r="AE92" i="4"/>
  <c r="AN92" i="4"/>
  <c r="S92" i="4"/>
  <c r="AB92" i="4"/>
  <c r="V92" i="4"/>
  <c r="AH92" i="4"/>
  <c r="AK92" i="4"/>
  <c r="P92" i="4"/>
  <c r="M92" i="4"/>
  <c r="AT20" i="4"/>
  <c r="AQ36" i="4"/>
  <c r="AQ92" i="4" s="1"/>
  <c r="AP92" i="4"/>
  <c r="N17" i="4"/>
  <c r="H17" i="20" s="1"/>
  <c r="S110" i="19"/>
  <c r="D3" i="19"/>
  <c r="D104" i="19"/>
  <c r="D39" i="19"/>
  <c r="S39" i="19"/>
  <c r="D110" i="19"/>
  <c r="S75" i="19"/>
  <c r="S105" i="19"/>
  <c r="S3" i="19"/>
  <c r="D75" i="19"/>
  <c r="O2" i="4"/>
  <c r="K106" i="19"/>
  <c r="L106" i="19"/>
  <c r="E106" i="19"/>
  <c r="F106" i="19"/>
  <c r="G106" i="19"/>
  <c r="D106" i="19"/>
  <c r="I106" i="19"/>
  <c r="M106" i="19"/>
  <c r="J106" i="19"/>
  <c r="H106" i="19"/>
  <c r="AG72" i="4"/>
  <c r="AG92" i="4" s="1"/>
  <c r="X72" i="4"/>
  <c r="X92" i="4" s="1"/>
  <c r="U72" i="4"/>
  <c r="U92" i="4" s="1"/>
  <c r="R72" i="4"/>
  <c r="R92" i="4" s="1"/>
  <c r="N106" i="19" l="1"/>
  <c r="L18" i="4"/>
  <c r="H18" i="20" s="1"/>
  <c r="H19" i="20" s="1"/>
  <c r="AT36" i="4"/>
  <c r="AT92" i="4"/>
  <c r="Q2" i="4"/>
  <c r="O17" i="4"/>
  <c r="O15" i="4"/>
  <c r="AO3" i="4"/>
  <c r="W3" i="4"/>
  <c r="AL3" i="4"/>
  <c r="T3" i="4"/>
  <c r="AI3" i="4"/>
  <c r="AF3" i="4"/>
  <c r="N3" i="4"/>
  <c r="AC3" i="4"/>
  <c r="Z3" i="4"/>
  <c r="Q3" i="4"/>
  <c r="B174" i="4" l="1"/>
  <c r="F2" i="22"/>
  <c r="Z79" i="4"/>
  <c r="W62" i="19" s="1"/>
  <c r="Z83" i="4"/>
  <c r="W66" i="19" s="1"/>
  <c r="Z81" i="4"/>
  <c r="W64" i="19" s="1"/>
  <c r="Z87" i="4"/>
  <c r="W70" i="19" s="1"/>
  <c r="Z88" i="4"/>
  <c r="W71" i="19" s="1"/>
  <c r="Z78" i="4"/>
  <c r="W61" i="19" s="1"/>
  <c r="Z86" i="4"/>
  <c r="W69" i="19" s="1"/>
  <c r="Z80" i="4"/>
  <c r="W63" i="19" s="1"/>
  <c r="Z82" i="4"/>
  <c r="W65" i="19" s="1"/>
  <c r="Z84" i="4"/>
  <c r="W67" i="19" s="1"/>
  <c r="Z77" i="4"/>
  <c r="W60" i="19" s="1"/>
  <c r="Z85" i="4"/>
  <c r="W68" i="19" s="1"/>
  <c r="Z89" i="4"/>
  <c r="W72" i="19" s="1"/>
  <c r="AC86" i="4"/>
  <c r="X69" i="19" s="1"/>
  <c r="AC89" i="4"/>
  <c r="X72" i="19" s="1"/>
  <c r="AC78" i="4"/>
  <c r="X61" i="19" s="1"/>
  <c r="AC83" i="4"/>
  <c r="X66" i="19" s="1"/>
  <c r="AC80" i="4"/>
  <c r="X63" i="19" s="1"/>
  <c r="AC84" i="4"/>
  <c r="X67" i="19" s="1"/>
  <c r="AC82" i="4"/>
  <c r="X65" i="19" s="1"/>
  <c r="AC85" i="4"/>
  <c r="X68" i="19" s="1"/>
  <c r="AC87" i="4"/>
  <c r="X70" i="19" s="1"/>
  <c r="AC81" i="4"/>
  <c r="X64" i="19" s="1"/>
  <c r="AC77" i="4"/>
  <c r="X60" i="19" s="1"/>
  <c r="AC88" i="4"/>
  <c r="X71" i="19" s="1"/>
  <c r="AC79" i="4"/>
  <c r="X62" i="19" s="1"/>
  <c r="N88" i="4"/>
  <c r="S71" i="19" s="1"/>
  <c r="N81" i="4"/>
  <c r="S64" i="19" s="1"/>
  <c r="N78" i="4"/>
  <c r="S61" i="19" s="1"/>
  <c r="N87" i="4"/>
  <c r="S70" i="19" s="1"/>
  <c r="N86" i="4"/>
  <c r="S69" i="19" s="1"/>
  <c r="N84" i="4"/>
  <c r="S67" i="19" s="1"/>
  <c r="N89" i="4"/>
  <c r="S72" i="19" s="1"/>
  <c r="N82" i="4"/>
  <c r="S65" i="19" s="1"/>
  <c r="N79" i="4"/>
  <c r="S62" i="19" s="1"/>
  <c r="N77" i="4"/>
  <c r="S60" i="19" s="1"/>
  <c r="N85" i="4"/>
  <c r="S68" i="19" s="1"/>
  <c r="N80" i="4"/>
  <c r="S63" i="19" s="1"/>
  <c r="N83" i="4"/>
  <c r="S66" i="19" s="1"/>
  <c r="AF88" i="4"/>
  <c r="Y71" i="19" s="1"/>
  <c r="AF83" i="4"/>
  <c r="Y66" i="19" s="1"/>
  <c r="AF78" i="4"/>
  <c r="Y61" i="19" s="1"/>
  <c r="AF81" i="4"/>
  <c r="Y64" i="19" s="1"/>
  <c r="AF84" i="4"/>
  <c r="Y67" i="19" s="1"/>
  <c r="AF87" i="4"/>
  <c r="Y70" i="19" s="1"/>
  <c r="AF82" i="4"/>
  <c r="Y65" i="19" s="1"/>
  <c r="AF79" i="4"/>
  <c r="Y62" i="19" s="1"/>
  <c r="AF80" i="4"/>
  <c r="Y63" i="19" s="1"/>
  <c r="AF77" i="4"/>
  <c r="Y60" i="19" s="1"/>
  <c r="AF86" i="4"/>
  <c r="Y69" i="19" s="1"/>
  <c r="AF85" i="4"/>
  <c r="Y68" i="19" s="1"/>
  <c r="AF89" i="4"/>
  <c r="Y72" i="19" s="1"/>
  <c r="AI87" i="4"/>
  <c r="Z70" i="19" s="1"/>
  <c r="AI89" i="4"/>
  <c r="Z72" i="19" s="1"/>
  <c r="AI77" i="4"/>
  <c r="Z60" i="19" s="1"/>
  <c r="AI80" i="4"/>
  <c r="Z63" i="19" s="1"/>
  <c r="AI79" i="4"/>
  <c r="Z62" i="19" s="1"/>
  <c r="AI83" i="4"/>
  <c r="Z66" i="19" s="1"/>
  <c r="AI86" i="4"/>
  <c r="Z69" i="19" s="1"/>
  <c r="AI78" i="4"/>
  <c r="Z61" i="19" s="1"/>
  <c r="AI88" i="4"/>
  <c r="Z71" i="19" s="1"/>
  <c r="AI82" i="4"/>
  <c r="Z65" i="19" s="1"/>
  <c r="AI84" i="4"/>
  <c r="Z67" i="19" s="1"/>
  <c r="AI81" i="4"/>
  <c r="Z64" i="19" s="1"/>
  <c r="AI85" i="4"/>
  <c r="Z68" i="19" s="1"/>
  <c r="T85" i="4"/>
  <c r="U68" i="19" s="1"/>
  <c r="T86" i="4"/>
  <c r="U69" i="19" s="1"/>
  <c r="T84" i="4"/>
  <c r="U67" i="19" s="1"/>
  <c r="T77" i="4"/>
  <c r="U60" i="19" s="1"/>
  <c r="T89" i="4"/>
  <c r="U72" i="19" s="1"/>
  <c r="T87" i="4"/>
  <c r="U70" i="19" s="1"/>
  <c r="T81" i="4"/>
  <c r="U64" i="19" s="1"/>
  <c r="T79" i="4"/>
  <c r="U62" i="19" s="1"/>
  <c r="T78" i="4"/>
  <c r="U61" i="19" s="1"/>
  <c r="T83" i="4"/>
  <c r="U66" i="19" s="1"/>
  <c r="T88" i="4"/>
  <c r="U71" i="19" s="1"/>
  <c r="T82" i="4"/>
  <c r="U65" i="19" s="1"/>
  <c r="T80" i="4"/>
  <c r="U63" i="19" s="1"/>
  <c r="AL87" i="4"/>
  <c r="AA70" i="19" s="1"/>
  <c r="AL82" i="4"/>
  <c r="AA65" i="19" s="1"/>
  <c r="AL85" i="4"/>
  <c r="AA68" i="19" s="1"/>
  <c r="AL84" i="4"/>
  <c r="AA67" i="19" s="1"/>
  <c r="AL77" i="4"/>
  <c r="AA60" i="19" s="1"/>
  <c r="AL89" i="4"/>
  <c r="AA72" i="19" s="1"/>
  <c r="AL83" i="4"/>
  <c r="AA66" i="19" s="1"/>
  <c r="AL86" i="4"/>
  <c r="AA69" i="19" s="1"/>
  <c r="AL78" i="4"/>
  <c r="AA61" i="19" s="1"/>
  <c r="AL88" i="4"/>
  <c r="AA71" i="19" s="1"/>
  <c r="AL80" i="4"/>
  <c r="AA63" i="19" s="1"/>
  <c r="AL79" i="4"/>
  <c r="AA62" i="19" s="1"/>
  <c r="AL81" i="4"/>
  <c r="AA64" i="19" s="1"/>
  <c r="W83" i="4"/>
  <c r="V66" i="19" s="1"/>
  <c r="W88" i="4"/>
  <c r="V71" i="19" s="1"/>
  <c r="W82" i="4"/>
  <c r="V65" i="19" s="1"/>
  <c r="W85" i="4"/>
  <c r="V68" i="19" s="1"/>
  <c r="W80" i="4"/>
  <c r="V63" i="19" s="1"/>
  <c r="W77" i="4"/>
  <c r="V60" i="19" s="1"/>
  <c r="W86" i="4"/>
  <c r="V69" i="19" s="1"/>
  <c r="W87" i="4"/>
  <c r="V70" i="19" s="1"/>
  <c r="W89" i="4"/>
  <c r="V72" i="19" s="1"/>
  <c r="W81" i="4"/>
  <c r="V64" i="19" s="1"/>
  <c r="W78" i="4"/>
  <c r="V61" i="19" s="1"/>
  <c r="W84" i="4"/>
  <c r="V67" i="19" s="1"/>
  <c r="W79" i="4"/>
  <c r="V62" i="19" s="1"/>
  <c r="AO78" i="4"/>
  <c r="AB61" i="19" s="1"/>
  <c r="AO83" i="4"/>
  <c r="AB66" i="19" s="1"/>
  <c r="AO88" i="4"/>
  <c r="AB71" i="19" s="1"/>
  <c r="AO82" i="4"/>
  <c r="AB65" i="19" s="1"/>
  <c r="AO87" i="4"/>
  <c r="AB70" i="19" s="1"/>
  <c r="AO85" i="4"/>
  <c r="AB68" i="19" s="1"/>
  <c r="AO84" i="4"/>
  <c r="AB67" i="19" s="1"/>
  <c r="AO80" i="4"/>
  <c r="AB63" i="19" s="1"/>
  <c r="AO77" i="4"/>
  <c r="AB60" i="19" s="1"/>
  <c r="AO86" i="4"/>
  <c r="AB69" i="19" s="1"/>
  <c r="AO89" i="4"/>
  <c r="AB72" i="19" s="1"/>
  <c r="AO81" i="4"/>
  <c r="AB64" i="19" s="1"/>
  <c r="AO79" i="4"/>
  <c r="AB62" i="19" s="1"/>
  <c r="Q77" i="4"/>
  <c r="T60" i="19" s="1"/>
  <c r="Q80" i="4"/>
  <c r="T63" i="19" s="1"/>
  <c r="Q79" i="4"/>
  <c r="T62" i="19" s="1"/>
  <c r="Q81" i="4"/>
  <c r="T64" i="19" s="1"/>
  <c r="Q78" i="4"/>
  <c r="T61" i="19" s="1"/>
  <c r="Q87" i="4"/>
  <c r="T70" i="19" s="1"/>
  <c r="Q88" i="4"/>
  <c r="T71" i="19" s="1"/>
  <c r="Q86" i="4"/>
  <c r="T69" i="19" s="1"/>
  <c r="Q89" i="4"/>
  <c r="T72" i="19" s="1"/>
  <c r="Q82" i="4"/>
  <c r="T65" i="19" s="1"/>
  <c r="Q84" i="4"/>
  <c r="T67" i="19" s="1"/>
  <c r="Q85" i="4"/>
  <c r="T68" i="19" s="1"/>
  <c r="Q83" i="4"/>
  <c r="T66" i="19" s="1"/>
  <c r="Z49" i="4"/>
  <c r="W51" i="19" s="1"/>
  <c r="Z53" i="4"/>
  <c r="W55" i="19" s="1"/>
  <c r="Z50" i="4"/>
  <c r="W52" i="19" s="1"/>
  <c r="Z52" i="4"/>
  <c r="W54" i="19" s="1"/>
  <c r="Z41" i="4"/>
  <c r="W43" i="19" s="1"/>
  <c r="Z43" i="4"/>
  <c r="W45" i="19" s="1"/>
  <c r="Z51" i="4"/>
  <c r="W53" i="19" s="1"/>
  <c r="Z48" i="4"/>
  <c r="W50" i="19" s="1"/>
  <c r="Z47" i="4"/>
  <c r="W49" i="19" s="1"/>
  <c r="Z42" i="4"/>
  <c r="W44" i="19" s="1"/>
  <c r="Z46" i="4"/>
  <c r="W48" i="19" s="1"/>
  <c r="Z45" i="4"/>
  <c r="W47" i="19" s="1"/>
  <c r="Z44" i="4"/>
  <c r="W46" i="19" s="1"/>
  <c r="AF49" i="4"/>
  <c r="Y51" i="19" s="1"/>
  <c r="AF52" i="4"/>
  <c r="Y54" i="19" s="1"/>
  <c r="AF48" i="4"/>
  <c r="Y50" i="19" s="1"/>
  <c r="AF41" i="4"/>
  <c r="Y43" i="19" s="1"/>
  <c r="AF53" i="4"/>
  <c r="Y55" i="19" s="1"/>
  <c r="AF45" i="4"/>
  <c r="Y47" i="19" s="1"/>
  <c r="AF43" i="4"/>
  <c r="Y45" i="19" s="1"/>
  <c r="AF51" i="4"/>
  <c r="Y53" i="19" s="1"/>
  <c r="AF42" i="4"/>
  <c r="Y44" i="19" s="1"/>
  <c r="AF47" i="4"/>
  <c r="Y49" i="19" s="1"/>
  <c r="AF50" i="4"/>
  <c r="Y52" i="19" s="1"/>
  <c r="AF46" i="4"/>
  <c r="Y48" i="19" s="1"/>
  <c r="AF44" i="4"/>
  <c r="Y46" i="19" s="1"/>
  <c r="AO49" i="4"/>
  <c r="AB51" i="19" s="1"/>
  <c r="AO52" i="4"/>
  <c r="AB54" i="19" s="1"/>
  <c r="AO41" i="4"/>
  <c r="AB43" i="19" s="1"/>
  <c r="AO45" i="4"/>
  <c r="AB47" i="19" s="1"/>
  <c r="AO51" i="4"/>
  <c r="AB53" i="19" s="1"/>
  <c r="AO47" i="4"/>
  <c r="AB49" i="19" s="1"/>
  <c r="AO43" i="4"/>
  <c r="AB45" i="19" s="1"/>
  <c r="AO53" i="4"/>
  <c r="AB55" i="19" s="1"/>
  <c r="AO50" i="4"/>
  <c r="AB52" i="19" s="1"/>
  <c r="AO42" i="4"/>
  <c r="AB44" i="19" s="1"/>
  <c r="AO48" i="4"/>
  <c r="AB50" i="19" s="1"/>
  <c r="AO46" i="4"/>
  <c r="AB48" i="19" s="1"/>
  <c r="AO44" i="4"/>
  <c r="AB46" i="19" s="1"/>
  <c r="AC53" i="4"/>
  <c r="X55" i="19" s="1"/>
  <c r="AC45" i="4"/>
  <c r="X47" i="19" s="1"/>
  <c r="AC51" i="4"/>
  <c r="X53" i="19" s="1"/>
  <c r="AC42" i="4"/>
  <c r="X44" i="19" s="1"/>
  <c r="AC41" i="4"/>
  <c r="X43" i="19" s="1"/>
  <c r="AC47" i="4"/>
  <c r="X49" i="19" s="1"/>
  <c r="AC43" i="4"/>
  <c r="X45" i="19" s="1"/>
  <c r="AC50" i="4"/>
  <c r="X52" i="19" s="1"/>
  <c r="AC46" i="4"/>
  <c r="X48" i="19" s="1"/>
  <c r="AC44" i="4"/>
  <c r="X46" i="19" s="1"/>
  <c r="AC52" i="4"/>
  <c r="X54" i="19" s="1"/>
  <c r="AC49" i="4"/>
  <c r="X51" i="19" s="1"/>
  <c r="AC48" i="4"/>
  <c r="X50" i="19" s="1"/>
  <c r="N48" i="4"/>
  <c r="S50" i="19" s="1"/>
  <c r="N53" i="4"/>
  <c r="S55" i="19" s="1"/>
  <c r="N45" i="4"/>
  <c r="S47" i="19" s="1"/>
  <c r="N51" i="4"/>
  <c r="S53" i="19" s="1"/>
  <c r="N47" i="4"/>
  <c r="S49" i="19" s="1"/>
  <c r="N42" i="4"/>
  <c r="S44" i="19" s="1"/>
  <c r="N41" i="4"/>
  <c r="S43" i="19" s="1"/>
  <c r="N50" i="4"/>
  <c r="S52" i="19" s="1"/>
  <c r="N49" i="4"/>
  <c r="S51" i="19" s="1"/>
  <c r="N43" i="4"/>
  <c r="S45" i="19" s="1"/>
  <c r="N52" i="4"/>
  <c r="S54" i="19" s="1"/>
  <c r="N46" i="4"/>
  <c r="S48" i="19" s="1"/>
  <c r="N44" i="4"/>
  <c r="S46" i="19" s="1"/>
  <c r="AI49" i="4"/>
  <c r="Z51" i="19" s="1"/>
  <c r="AI46" i="4"/>
  <c r="Z48" i="19" s="1"/>
  <c r="AI44" i="4"/>
  <c r="Z46" i="19" s="1"/>
  <c r="AI52" i="4"/>
  <c r="Z54" i="19" s="1"/>
  <c r="AI41" i="4"/>
  <c r="Z43" i="19" s="1"/>
  <c r="AI48" i="4"/>
  <c r="Z50" i="19" s="1"/>
  <c r="AI47" i="4"/>
  <c r="Z49" i="19" s="1"/>
  <c r="AI45" i="4"/>
  <c r="Z47" i="19" s="1"/>
  <c r="AI43" i="4"/>
  <c r="Z45" i="19" s="1"/>
  <c r="AI42" i="4"/>
  <c r="Z44" i="19" s="1"/>
  <c r="AI50" i="4"/>
  <c r="Z52" i="19" s="1"/>
  <c r="AI53" i="4"/>
  <c r="Z55" i="19" s="1"/>
  <c r="AI51" i="4"/>
  <c r="Z53" i="19" s="1"/>
  <c r="T49" i="4"/>
  <c r="U51" i="19" s="1"/>
  <c r="T53" i="4"/>
  <c r="U55" i="19" s="1"/>
  <c r="T45" i="4"/>
  <c r="U47" i="19" s="1"/>
  <c r="T51" i="4"/>
  <c r="U53" i="19" s="1"/>
  <c r="T50" i="4"/>
  <c r="U52" i="19" s="1"/>
  <c r="T42" i="4"/>
  <c r="U44" i="19" s="1"/>
  <c r="T41" i="4"/>
  <c r="U43" i="19" s="1"/>
  <c r="T43" i="4"/>
  <c r="U45" i="19" s="1"/>
  <c r="T46" i="4"/>
  <c r="U48" i="19" s="1"/>
  <c r="T44" i="4"/>
  <c r="U46" i="19" s="1"/>
  <c r="T52" i="4"/>
  <c r="U54" i="19" s="1"/>
  <c r="T47" i="4"/>
  <c r="U49" i="19" s="1"/>
  <c r="T48" i="4"/>
  <c r="U50" i="19" s="1"/>
  <c r="AL53" i="4"/>
  <c r="AA55" i="19" s="1"/>
  <c r="AL45" i="4"/>
  <c r="AA47" i="19" s="1"/>
  <c r="AL51" i="4"/>
  <c r="AA53" i="19" s="1"/>
  <c r="AL50" i="4"/>
  <c r="AA52" i="19" s="1"/>
  <c r="AL42" i="4"/>
  <c r="AA44" i="19" s="1"/>
  <c r="AL41" i="4"/>
  <c r="AA43" i="19" s="1"/>
  <c r="AL46" i="4"/>
  <c r="AA48" i="19" s="1"/>
  <c r="AL44" i="4"/>
  <c r="AA46" i="19" s="1"/>
  <c r="AL43" i="4"/>
  <c r="AA45" i="19" s="1"/>
  <c r="AL49" i="4"/>
  <c r="AA51" i="19" s="1"/>
  <c r="AL47" i="4"/>
  <c r="AA49" i="19" s="1"/>
  <c r="AL48" i="4"/>
  <c r="AA50" i="19" s="1"/>
  <c r="AL52" i="4"/>
  <c r="AA54" i="19" s="1"/>
  <c r="W49" i="4"/>
  <c r="V51" i="19" s="1"/>
  <c r="W43" i="4"/>
  <c r="V45" i="19" s="1"/>
  <c r="W41" i="4"/>
  <c r="V43" i="19" s="1"/>
  <c r="W48" i="4"/>
  <c r="V50" i="19" s="1"/>
  <c r="W47" i="4"/>
  <c r="V49" i="19" s="1"/>
  <c r="W53" i="4"/>
  <c r="V55" i="19" s="1"/>
  <c r="W45" i="4"/>
  <c r="V47" i="19" s="1"/>
  <c r="W51" i="4"/>
  <c r="V53" i="19" s="1"/>
  <c r="W50" i="4"/>
  <c r="V52" i="19" s="1"/>
  <c r="W42" i="4"/>
  <c r="V44" i="19" s="1"/>
  <c r="W52" i="4"/>
  <c r="V54" i="19" s="1"/>
  <c r="W46" i="4"/>
  <c r="V48" i="19" s="1"/>
  <c r="W44" i="4"/>
  <c r="V46" i="19" s="1"/>
  <c r="Q46" i="4"/>
  <c r="T48" i="19" s="1"/>
  <c r="Q44" i="4"/>
  <c r="T46" i="19" s="1"/>
  <c r="Q52" i="4"/>
  <c r="T54" i="19" s="1"/>
  <c r="Q41" i="4"/>
  <c r="T43" i="19" s="1"/>
  <c r="Q43" i="4"/>
  <c r="T45" i="19" s="1"/>
  <c r="Q48" i="4"/>
  <c r="T50" i="19" s="1"/>
  <c r="Q47" i="4"/>
  <c r="T49" i="19" s="1"/>
  <c r="Q49" i="4"/>
  <c r="T51" i="19" s="1"/>
  <c r="Q45" i="4"/>
  <c r="T47" i="19" s="1"/>
  <c r="Q42" i="4"/>
  <c r="T44" i="19" s="1"/>
  <c r="Q50" i="4"/>
  <c r="T52" i="19" s="1"/>
  <c r="Q53" i="4"/>
  <c r="T55" i="19" s="1"/>
  <c r="Q51" i="4"/>
  <c r="T53" i="19" s="1"/>
  <c r="R2" i="4"/>
  <c r="Q17" i="4"/>
  <c r="O18" i="4" s="1"/>
  <c r="T3" i="19"/>
  <c r="T75" i="19"/>
  <c r="E75" i="19"/>
  <c r="T110" i="19"/>
  <c r="E3" i="19"/>
  <c r="E104" i="19"/>
  <c r="T105" i="19"/>
  <c r="E39" i="19"/>
  <c r="E110" i="19"/>
  <c r="T39" i="19"/>
  <c r="Q35" i="4"/>
  <c r="F20" i="22" s="1"/>
  <c r="Q34" i="4"/>
  <c r="F19" i="22" s="1"/>
  <c r="Q65" i="4"/>
  <c r="F31" i="22" s="1"/>
  <c r="Q24" i="4"/>
  <c r="F9" i="22" s="1"/>
  <c r="Q64" i="4"/>
  <c r="F30" i="22" s="1"/>
  <c r="Q40" i="4"/>
  <c r="T42" i="19" s="1"/>
  <c r="Q23" i="4"/>
  <c r="F8" i="22" s="1"/>
  <c r="Q63" i="4"/>
  <c r="F29" i="22" s="1"/>
  <c r="Q39" i="4"/>
  <c r="T41" i="19" s="1"/>
  <c r="Q76" i="4"/>
  <c r="T59" i="19" s="1"/>
  <c r="Q61" i="4"/>
  <c r="F27" i="22" s="1"/>
  <c r="Q32" i="4"/>
  <c r="F17" i="22" s="1"/>
  <c r="Q20" i="4"/>
  <c r="F5" i="22" s="1"/>
  <c r="Q31" i="4"/>
  <c r="F16" i="22" s="1"/>
  <c r="Q75" i="4"/>
  <c r="T58" i="19" s="1"/>
  <c r="Q60" i="4"/>
  <c r="F26" i="22" s="1"/>
  <c r="Q58" i="4"/>
  <c r="F24" i="22" s="1"/>
  <c r="Q71" i="4"/>
  <c r="F37" i="22" s="1"/>
  <c r="Q30" i="4"/>
  <c r="F15" i="22" s="1"/>
  <c r="Q70" i="4"/>
  <c r="F36" i="22" s="1"/>
  <c r="Q29" i="4"/>
  <c r="F14" i="22" s="1"/>
  <c r="Q69" i="4"/>
  <c r="F35" i="22" s="1"/>
  <c r="Q28" i="4"/>
  <c r="F13" i="22" s="1"/>
  <c r="Q68" i="4"/>
  <c r="F34" i="22" s="1"/>
  <c r="Q27" i="4"/>
  <c r="F12" i="22" s="1"/>
  <c r="Q67" i="4"/>
  <c r="F33" i="22" s="1"/>
  <c r="Q74" i="4"/>
  <c r="T57" i="19" s="1"/>
  <c r="Q33" i="4"/>
  <c r="F18" i="22" s="1"/>
  <c r="Q66" i="4"/>
  <c r="F32" i="22" s="1"/>
  <c r="Q25" i="4"/>
  <c r="F10" i="22" s="1"/>
  <c r="Q62" i="4"/>
  <c r="F28" i="22" s="1"/>
  <c r="Q22" i="4"/>
  <c r="F7" i="22" s="1"/>
  <c r="Q59" i="4"/>
  <c r="F25" i="22" s="1"/>
  <c r="Q21" i="4"/>
  <c r="F6" i="22" s="1"/>
  <c r="Q57" i="4"/>
  <c r="F23" i="22" s="1"/>
  <c r="Q56" i="4"/>
  <c r="F22" i="22" s="1"/>
  <c r="Q38" i="4"/>
  <c r="Q26" i="4"/>
  <c r="F11" i="22" s="1"/>
  <c r="AC61" i="4"/>
  <c r="N27" i="22" s="1"/>
  <c r="AC34" i="4"/>
  <c r="N19" i="22" s="1"/>
  <c r="AC22" i="4"/>
  <c r="N7" i="22" s="1"/>
  <c r="AC60" i="4"/>
  <c r="N26" i="22" s="1"/>
  <c r="AC40" i="4"/>
  <c r="X42" i="19" s="1"/>
  <c r="AC33" i="4"/>
  <c r="N18" i="22" s="1"/>
  <c r="AC21" i="4"/>
  <c r="N6" i="22" s="1"/>
  <c r="AC71" i="4"/>
  <c r="AC59" i="4"/>
  <c r="N25" i="22" s="1"/>
  <c r="AC39" i="4"/>
  <c r="X41" i="19" s="1"/>
  <c r="AC76" i="4"/>
  <c r="X59" i="19" s="1"/>
  <c r="AC69" i="4"/>
  <c r="N35" i="22" s="1"/>
  <c r="AC57" i="4"/>
  <c r="AC30" i="4"/>
  <c r="N15" i="22" s="1"/>
  <c r="AC56" i="4"/>
  <c r="N22" i="22" s="1"/>
  <c r="AC29" i="4"/>
  <c r="N14" i="22" s="1"/>
  <c r="AC75" i="4"/>
  <c r="X58" i="19" s="1"/>
  <c r="AC68" i="4"/>
  <c r="N34" i="22" s="1"/>
  <c r="AC28" i="4"/>
  <c r="N13" i="22" s="1"/>
  <c r="AC74" i="4"/>
  <c r="X57" i="19" s="1"/>
  <c r="AC70" i="4"/>
  <c r="N36" i="22" s="1"/>
  <c r="AC24" i="4"/>
  <c r="N9" i="22" s="1"/>
  <c r="AC67" i="4"/>
  <c r="N33" i="22" s="1"/>
  <c r="AC23" i="4"/>
  <c r="N8" i="22" s="1"/>
  <c r="AC66" i="4"/>
  <c r="N32" i="22" s="1"/>
  <c r="AC20" i="4"/>
  <c r="N5" i="22" s="1"/>
  <c r="AC65" i="4"/>
  <c r="N31" i="22" s="1"/>
  <c r="AC38" i="4"/>
  <c r="AC64" i="4"/>
  <c r="N30" i="22" s="1"/>
  <c r="AC58" i="4"/>
  <c r="N24" i="22" s="1"/>
  <c r="AC31" i="4"/>
  <c r="N16" i="22" s="1"/>
  <c r="AC27" i="4"/>
  <c r="N12" i="22" s="1"/>
  <c r="AC26" i="4"/>
  <c r="N11" i="22" s="1"/>
  <c r="AC63" i="4"/>
  <c r="N29" i="22" s="1"/>
  <c r="AC35" i="4"/>
  <c r="N20" i="22" s="1"/>
  <c r="AC62" i="4"/>
  <c r="N28" i="22" s="1"/>
  <c r="AC32" i="4"/>
  <c r="N17" i="22" s="1"/>
  <c r="AC25" i="4"/>
  <c r="N10" i="22" s="1"/>
  <c r="W74" i="4"/>
  <c r="V57" i="19" s="1"/>
  <c r="W69" i="4"/>
  <c r="J35" i="22" s="1"/>
  <c r="W57" i="4"/>
  <c r="J23" i="22" s="1"/>
  <c r="W30" i="4"/>
  <c r="J15" i="22" s="1"/>
  <c r="W68" i="4"/>
  <c r="J34" i="22" s="1"/>
  <c r="W56" i="4"/>
  <c r="J22" i="22" s="1"/>
  <c r="W29" i="4"/>
  <c r="J14" i="22" s="1"/>
  <c r="W67" i="4"/>
  <c r="J33" i="22" s="1"/>
  <c r="W65" i="4"/>
  <c r="J31" i="22" s="1"/>
  <c r="W26" i="4"/>
  <c r="J11" i="22" s="1"/>
  <c r="W64" i="4"/>
  <c r="J30" i="22" s="1"/>
  <c r="W25" i="4"/>
  <c r="J10" i="22" s="1"/>
  <c r="W70" i="4"/>
  <c r="J36" i="22" s="1"/>
  <c r="W61" i="4"/>
  <c r="J27" i="22" s="1"/>
  <c r="W20" i="4"/>
  <c r="J5" i="22" s="1"/>
  <c r="W60" i="4"/>
  <c r="J26" i="22" s="1"/>
  <c r="W35" i="4"/>
  <c r="J20" i="22" s="1"/>
  <c r="W59" i="4"/>
  <c r="J25" i="22" s="1"/>
  <c r="W34" i="4"/>
  <c r="J19" i="22" s="1"/>
  <c r="W58" i="4"/>
  <c r="J24" i="22" s="1"/>
  <c r="W33" i="4"/>
  <c r="J18" i="22" s="1"/>
  <c r="W76" i="4"/>
  <c r="V59" i="19" s="1"/>
  <c r="W31" i="4"/>
  <c r="J16" i="22" s="1"/>
  <c r="W28" i="4"/>
  <c r="J13" i="22" s="1"/>
  <c r="W27" i="4"/>
  <c r="J12" i="22" s="1"/>
  <c r="W24" i="4"/>
  <c r="J9" i="22" s="1"/>
  <c r="W23" i="4"/>
  <c r="J8" i="22" s="1"/>
  <c r="W22" i="4"/>
  <c r="J7" i="22" s="1"/>
  <c r="W71" i="4"/>
  <c r="J37" i="22" s="1"/>
  <c r="W40" i="4"/>
  <c r="V42" i="19" s="1"/>
  <c r="W21" i="4"/>
  <c r="J6" i="22" s="1"/>
  <c r="W66" i="4"/>
  <c r="J32" i="22" s="1"/>
  <c r="W39" i="4"/>
  <c r="V41" i="19" s="1"/>
  <c r="W63" i="4"/>
  <c r="J29" i="22" s="1"/>
  <c r="W38" i="4"/>
  <c r="W62" i="4"/>
  <c r="J28" i="22" s="1"/>
  <c r="W75" i="4"/>
  <c r="V58" i="19" s="1"/>
  <c r="W32" i="4"/>
  <c r="J17" i="22" s="1"/>
  <c r="Z65" i="4"/>
  <c r="L31" i="22" s="1"/>
  <c r="Z26" i="4"/>
  <c r="L11" i="22" s="1"/>
  <c r="Z64" i="4"/>
  <c r="L30" i="22" s="1"/>
  <c r="Z25" i="4"/>
  <c r="L10" i="22" s="1"/>
  <c r="Z63" i="4"/>
  <c r="L29" i="22" s="1"/>
  <c r="Z61" i="4"/>
  <c r="L27" i="22" s="1"/>
  <c r="Z40" i="4"/>
  <c r="W42" i="19" s="1"/>
  <c r="Z34" i="4"/>
  <c r="L19" i="22" s="1"/>
  <c r="Z22" i="4"/>
  <c r="L7" i="22" s="1"/>
  <c r="Z39" i="4"/>
  <c r="W41" i="19" s="1"/>
  <c r="Z33" i="4"/>
  <c r="L18" i="22" s="1"/>
  <c r="Z21" i="4"/>
  <c r="L6" i="22" s="1"/>
  <c r="Z60" i="4"/>
  <c r="L26" i="22" s="1"/>
  <c r="Z71" i="4"/>
  <c r="L37" i="22" s="1"/>
  <c r="Z28" i="4"/>
  <c r="L13" i="22" s="1"/>
  <c r="Z67" i="4"/>
  <c r="L33" i="22" s="1"/>
  <c r="Z20" i="4"/>
  <c r="L5" i="22" s="1"/>
  <c r="Z76" i="4"/>
  <c r="W59" i="19" s="1"/>
  <c r="Z66" i="4"/>
  <c r="L32" i="22" s="1"/>
  <c r="Z75" i="4"/>
  <c r="W58" i="19" s="1"/>
  <c r="Z62" i="4"/>
  <c r="L28" i="22" s="1"/>
  <c r="Z74" i="4"/>
  <c r="W57" i="19" s="1"/>
  <c r="Z59" i="4"/>
  <c r="L25" i="22" s="1"/>
  <c r="Z35" i="4"/>
  <c r="L20" i="22" s="1"/>
  <c r="Z58" i="4"/>
  <c r="L24" i="22" s="1"/>
  <c r="Z70" i="4"/>
  <c r="L36" i="22" s="1"/>
  <c r="Z69" i="4"/>
  <c r="L35" i="22" s="1"/>
  <c r="Z68" i="4"/>
  <c r="L34" i="22" s="1"/>
  <c r="Z57" i="4"/>
  <c r="L23" i="22" s="1"/>
  <c r="Z32" i="4"/>
  <c r="L17" i="22" s="1"/>
  <c r="Z56" i="4"/>
  <c r="L22" i="22" s="1"/>
  <c r="Z38" i="4"/>
  <c r="Z31" i="4"/>
  <c r="L16" i="22" s="1"/>
  <c r="Z30" i="4"/>
  <c r="L15" i="22" s="1"/>
  <c r="Z29" i="4"/>
  <c r="L14" i="22" s="1"/>
  <c r="Z27" i="4"/>
  <c r="L12" i="22" s="1"/>
  <c r="Z24" i="4"/>
  <c r="L9" i="22" s="1"/>
  <c r="Z23" i="4"/>
  <c r="L8" i="22" s="1"/>
  <c r="N20" i="4"/>
  <c r="D5" i="22" s="1"/>
  <c r="N56" i="4"/>
  <c r="D22" i="22" s="1"/>
  <c r="N32" i="4"/>
  <c r="D17" i="22" s="1"/>
  <c r="N69" i="4"/>
  <c r="D35" i="22" s="1"/>
  <c r="N57" i="4"/>
  <c r="D23" i="22" s="1"/>
  <c r="N33" i="4"/>
  <c r="D18" i="22" s="1"/>
  <c r="N68" i="4"/>
  <c r="D34" i="22" s="1"/>
  <c r="N22" i="4"/>
  <c r="D7" i="22" s="1"/>
  <c r="N34" i="4"/>
  <c r="D19" i="22" s="1"/>
  <c r="N67" i="4"/>
  <c r="D33" i="22" s="1"/>
  <c r="N21" i="4"/>
  <c r="D6" i="22" s="1"/>
  <c r="N24" i="4"/>
  <c r="D9" i="22" s="1"/>
  <c r="N65" i="4"/>
  <c r="D31" i="22" s="1"/>
  <c r="N40" i="4"/>
  <c r="N64" i="4"/>
  <c r="D30" i="22" s="1"/>
  <c r="N25" i="4"/>
  <c r="D10" i="22" s="1"/>
  <c r="N39" i="4"/>
  <c r="N76" i="4"/>
  <c r="S59" i="19" s="1"/>
  <c r="N28" i="4"/>
  <c r="D13" i="22" s="1"/>
  <c r="N70" i="4"/>
  <c r="D36" i="22" s="1"/>
  <c r="N29" i="4"/>
  <c r="D14" i="22" s="1"/>
  <c r="N66" i="4"/>
  <c r="D32" i="22" s="1"/>
  <c r="N30" i="4"/>
  <c r="D15" i="22" s="1"/>
  <c r="N63" i="4"/>
  <c r="D29" i="22" s="1"/>
  <c r="N31" i="4"/>
  <c r="D16" i="22" s="1"/>
  <c r="N62" i="4"/>
  <c r="D28" i="22" s="1"/>
  <c r="N35" i="4"/>
  <c r="D20" i="22" s="1"/>
  <c r="N59" i="4"/>
  <c r="D25" i="22" s="1"/>
  <c r="N23" i="4"/>
  <c r="D8" i="22" s="1"/>
  <c r="N75" i="4"/>
  <c r="S58" i="19" s="1"/>
  <c r="N58" i="4"/>
  <c r="D24" i="22" s="1"/>
  <c r="N26" i="4"/>
  <c r="D11" i="22" s="1"/>
  <c r="N74" i="4"/>
  <c r="S57" i="19" s="1"/>
  <c r="N27" i="4"/>
  <c r="D12" i="22" s="1"/>
  <c r="N71" i="4"/>
  <c r="D37" i="22" s="1"/>
  <c r="N61" i="4"/>
  <c r="D27" i="22" s="1"/>
  <c r="N60" i="4"/>
  <c r="D26" i="22" s="1"/>
  <c r="N38" i="4"/>
  <c r="AF69" i="4"/>
  <c r="P35" i="22" s="1"/>
  <c r="AF57" i="4"/>
  <c r="AF38" i="4"/>
  <c r="AF30" i="4"/>
  <c r="P15" i="22" s="1"/>
  <c r="AF76" i="4"/>
  <c r="Y59" i="19" s="1"/>
  <c r="AF68" i="4"/>
  <c r="P34" i="22" s="1"/>
  <c r="AF56" i="4"/>
  <c r="P22" i="22" s="1"/>
  <c r="AF29" i="4"/>
  <c r="P14" i="22" s="1"/>
  <c r="AF75" i="4"/>
  <c r="Y58" i="19" s="1"/>
  <c r="AF67" i="4"/>
  <c r="P33" i="22" s="1"/>
  <c r="AF65" i="4"/>
  <c r="P31" i="22" s="1"/>
  <c r="AF26" i="4"/>
  <c r="P11" i="22" s="1"/>
  <c r="AF25" i="4"/>
  <c r="P10" i="22" s="1"/>
  <c r="AF64" i="4"/>
  <c r="P30" i="22" s="1"/>
  <c r="AF61" i="4"/>
  <c r="P27" i="22" s="1"/>
  <c r="AF32" i="4"/>
  <c r="P17" i="22" s="1"/>
  <c r="AF24" i="4"/>
  <c r="P9" i="22" s="1"/>
  <c r="AF40" i="4"/>
  <c r="Y42" i="19" s="1"/>
  <c r="AF23" i="4"/>
  <c r="P8" i="22" s="1"/>
  <c r="AF39" i="4"/>
  <c r="Y41" i="19" s="1"/>
  <c r="AF22" i="4"/>
  <c r="P7" i="22" s="1"/>
  <c r="AF71" i="4"/>
  <c r="AF21" i="4"/>
  <c r="P6" i="22" s="1"/>
  <c r="AF70" i="4"/>
  <c r="P36" i="22" s="1"/>
  <c r="AF66" i="4"/>
  <c r="P32" i="22" s="1"/>
  <c r="AF34" i="4"/>
  <c r="P19" i="22" s="1"/>
  <c r="AF63" i="4"/>
  <c r="P29" i="22" s="1"/>
  <c r="AF33" i="4"/>
  <c r="P18" i="22" s="1"/>
  <c r="AF62" i="4"/>
  <c r="P28" i="22" s="1"/>
  <c r="AF31" i="4"/>
  <c r="P16" i="22" s="1"/>
  <c r="AF60" i="4"/>
  <c r="P26" i="22" s="1"/>
  <c r="AF28" i="4"/>
  <c r="P13" i="22" s="1"/>
  <c r="AF59" i="4"/>
  <c r="P25" i="22" s="1"/>
  <c r="AF27" i="4"/>
  <c r="P12" i="22" s="1"/>
  <c r="AF74" i="4"/>
  <c r="Y57" i="19" s="1"/>
  <c r="AF58" i="4"/>
  <c r="P24" i="22" s="1"/>
  <c r="AF20" i="4"/>
  <c r="P5" i="22" s="1"/>
  <c r="AF35" i="4"/>
  <c r="P20" i="22" s="1"/>
  <c r="AI74" i="4"/>
  <c r="Z57" i="19" s="1"/>
  <c r="AI65" i="4"/>
  <c r="R31" i="22" s="1"/>
  <c r="AI26" i="4"/>
  <c r="R11" i="22" s="1"/>
  <c r="AI64" i="4"/>
  <c r="R30" i="22" s="1"/>
  <c r="AI25" i="4"/>
  <c r="R10" i="22" s="1"/>
  <c r="AI63" i="4"/>
  <c r="R29" i="22" s="1"/>
  <c r="AI61" i="4"/>
  <c r="R27" i="22" s="1"/>
  <c r="AI34" i="4"/>
  <c r="R19" i="22" s="1"/>
  <c r="AI22" i="4"/>
  <c r="R7" i="22" s="1"/>
  <c r="AI33" i="4"/>
  <c r="R18" i="22" s="1"/>
  <c r="AI21" i="4"/>
  <c r="R6" i="22" s="1"/>
  <c r="AI60" i="4"/>
  <c r="R26" i="22" s="1"/>
  <c r="AI67" i="4"/>
  <c r="R33" i="22" s="1"/>
  <c r="AI32" i="4"/>
  <c r="R17" i="22" s="1"/>
  <c r="AI58" i="4"/>
  <c r="R24" i="22" s="1"/>
  <c r="AI38" i="4"/>
  <c r="AI28" i="4"/>
  <c r="R13" i="22" s="1"/>
  <c r="AI57" i="4"/>
  <c r="AI27" i="4"/>
  <c r="R12" i="22" s="1"/>
  <c r="AI56" i="4"/>
  <c r="R22" i="22" s="1"/>
  <c r="AI24" i="4"/>
  <c r="R9" i="22" s="1"/>
  <c r="AI23" i="4"/>
  <c r="R8" i="22" s="1"/>
  <c r="AI71" i="4"/>
  <c r="AI68" i="4"/>
  <c r="R34" i="22" s="1"/>
  <c r="AI30" i="4"/>
  <c r="R15" i="22" s="1"/>
  <c r="AI66" i="4"/>
  <c r="R32" i="22" s="1"/>
  <c r="AI29" i="4"/>
  <c r="R14" i="22" s="1"/>
  <c r="AI62" i="4"/>
  <c r="R28" i="22" s="1"/>
  <c r="AI20" i="4"/>
  <c r="R5" i="22" s="1"/>
  <c r="AI39" i="4"/>
  <c r="Z41" i="19" s="1"/>
  <c r="AI76" i="4"/>
  <c r="Z59" i="19" s="1"/>
  <c r="AI75" i="4"/>
  <c r="Z58" i="19" s="1"/>
  <c r="AI70" i="4"/>
  <c r="R36" i="22" s="1"/>
  <c r="AI35" i="4"/>
  <c r="R20" i="22" s="1"/>
  <c r="AI69" i="4"/>
  <c r="R35" i="22" s="1"/>
  <c r="AI31" i="4"/>
  <c r="R16" i="22" s="1"/>
  <c r="AI59" i="4"/>
  <c r="R25" i="22" s="1"/>
  <c r="AI40" i="4"/>
  <c r="Z42" i="19" s="1"/>
  <c r="T61" i="4"/>
  <c r="H27" i="22" s="1"/>
  <c r="T38" i="4"/>
  <c r="T34" i="4"/>
  <c r="H19" i="22" s="1"/>
  <c r="T22" i="4"/>
  <c r="H7" i="22" s="1"/>
  <c r="T76" i="4"/>
  <c r="U59" i="19" s="1"/>
  <c r="T60" i="4"/>
  <c r="H26" i="22" s="1"/>
  <c r="T33" i="4"/>
  <c r="H18" i="22" s="1"/>
  <c r="T21" i="4"/>
  <c r="H6" i="22" s="1"/>
  <c r="T75" i="4"/>
  <c r="U58" i="19" s="1"/>
  <c r="T71" i="4"/>
  <c r="H37" i="22" s="1"/>
  <c r="T59" i="4"/>
  <c r="H25" i="22" s="1"/>
  <c r="T69" i="4"/>
  <c r="H35" i="22" s="1"/>
  <c r="T57" i="4"/>
  <c r="H23" i="22" s="1"/>
  <c r="T30" i="4"/>
  <c r="H15" i="22" s="1"/>
  <c r="T56" i="4"/>
  <c r="H22" i="22" s="1"/>
  <c r="T29" i="4"/>
  <c r="H14" i="22" s="1"/>
  <c r="T68" i="4"/>
  <c r="H34" i="22" s="1"/>
  <c r="T64" i="4"/>
  <c r="H30" i="22" s="1"/>
  <c r="T40" i="4"/>
  <c r="U42" i="19" s="1"/>
  <c r="T35" i="4"/>
  <c r="H20" i="22" s="1"/>
  <c r="T32" i="4"/>
  <c r="H17" i="22" s="1"/>
  <c r="T31" i="4"/>
  <c r="H16" i="22" s="1"/>
  <c r="T70" i="4"/>
  <c r="H36" i="22" s="1"/>
  <c r="T65" i="4"/>
  <c r="H31" i="22" s="1"/>
  <c r="T23" i="4"/>
  <c r="H8" i="22" s="1"/>
  <c r="T63" i="4"/>
  <c r="H29" i="22" s="1"/>
  <c r="T20" i="4"/>
  <c r="H5" i="22" s="1"/>
  <c r="T62" i="4"/>
  <c r="H28" i="22" s="1"/>
  <c r="T28" i="4"/>
  <c r="H13" i="22" s="1"/>
  <c r="T27" i="4"/>
  <c r="H12" i="22" s="1"/>
  <c r="T39" i="4"/>
  <c r="U41" i="19" s="1"/>
  <c r="T26" i="4"/>
  <c r="H11" i="22" s="1"/>
  <c r="T67" i="4"/>
  <c r="H33" i="22" s="1"/>
  <c r="T25" i="4"/>
  <c r="H10" i="22" s="1"/>
  <c r="T74" i="4"/>
  <c r="U57" i="19" s="1"/>
  <c r="T66" i="4"/>
  <c r="H32" i="22" s="1"/>
  <c r="T24" i="4"/>
  <c r="H9" i="22" s="1"/>
  <c r="T58" i="4"/>
  <c r="H24" i="22" s="1"/>
  <c r="AL61" i="4"/>
  <c r="T27" i="22" s="1"/>
  <c r="AL34" i="4"/>
  <c r="T19" i="22" s="1"/>
  <c r="AL22" i="4"/>
  <c r="T7" i="22" s="1"/>
  <c r="AL60" i="4"/>
  <c r="T26" i="22" s="1"/>
  <c r="AL33" i="4"/>
  <c r="T18" i="22" s="1"/>
  <c r="AL21" i="4"/>
  <c r="T6" i="22" s="1"/>
  <c r="AL71" i="4"/>
  <c r="AL59" i="4"/>
  <c r="T25" i="22" s="1"/>
  <c r="AL32" i="4"/>
  <c r="T17" i="22" s="1"/>
  <c r="AL20" i="4"/>
  <c r="T5" i="22" s="1"/>
  <c r="AL69" i="4"/>
  <c r="T35" i="22" s="1"/>
  <c r="AL57" i="4"/>
  <c r="AL40" i="4"/>
  <c r="AA42" i="19" s="1"/>
  <c r="AL30" i="4"/>
  <c r="T15" i="22" s="1"/>
  <c r="AL68" i="4"/>
  <c r="T34" i="22" s="1"/>
  <c r="AL56" i="4"/>
  <c r="T22" i="22" s="1"/>
  <c r="AL39" i="4"/>
  <c r="AA41" i="19" s="1"/>
  <c r="AL29" i="4"/>
  <c r="T14" i="22" s="1"/>
  <c r="AL74" i="4"/>
  <c r="AA57" i="19" s="1"/>
  <c r="AL70" i="4"/>
  <c r="T36" i="22" s="1"/>
  <c r="AL64" i="4"/>
  <c r="T30" i="22" s="1"/>
  <c r="AL31" i="4"/>
  <c r="T16" i="22" s="1"/>
  <c r="AL63" i="4"/>
  <c r="T29" i="22" s="1"/>
  <c r="AL28" i="4"/>
  <c r="T13" i="22" s="1"/>
  <c r="AL62" i="4"/>
  <c r="T28" i="22" s="1"/>
  <c r="AL27" i="4"/>
  <c r="T12" i="22" s="1"/>
  <c r="AL58" i="4"/>
  <c r="T24" i="22" s="1"/>
  <c r="AL26" i="4"/>
  <c r="T11" i="22" s="1"/>
  <c r="AL38" i="4"/>
  <c r="AL76" i="4"/>
  <c r="AA59" i="19" s="1"/>
  <c r="AL75" i="4"/>
  <c r="AA58" i="19" s="1"/>
  <c r="AL35" i="4"/>
  <c r="T20" i="22" s="1"/>
  <c r="AL67" i="4"/>
  <c r="T33" i="22" s="1"/>
  <c r="AL25" i="4"/>
  <c r="T10" i="22" s="1"/>
  <c r="AL66" i="4"/>
  <c r="T32" i="22" s="1"/>
  <c r="AL24" i="4"/>
  <c r="T9" i="22" s="1"/>
  <c r="AL65" i="4"/>
  <c r="T31" i="22" s="1"/>
  <c r="AL23" i="4"/>
  <c r="T8" i="22" s="1"/>
  <c r="AO69" i="4"/>
  <c r="V35" i="22" s="1"/>
  <c r="AO57" i="4"/>
  <c r="AO30" i="4"/>
  <c r="V15" i="22" s="1"/>
  <c r="AO68" i="4"/>
  <c r="V34" i="22" s="1"/>
  <c r="AO56" i="4"/>
  <c r="V22" i="22" s="1"/>
  <c r="AO40" i="4"/>
  <c r="AB42" i="19" s="1"/>
  <c r="AO29" i="4"/>
  <c r="V14" i="22" s="1"/>
  <c r="AO67" i="4"/>
  <c r="V33" i="22" s="1"/>
  <c r="AO39" i="4"/>
  <c r="AB41" i="19" s="1"/>
  <c r="AO28" i="4"/>
  <c r="V13" i="22" s="1"/>
  <c r="AO76" i="4"/>
  <c r="AB59" i="19" s="1"/>
  <c r="AO65" i="4"/>
  <c r="V31" i="22" s="1"/>
  <c r="AO26" i="4"/>
  <c r="V11" i="22" s="1"/>
  <c r="AO25" i="4"/>
  <c r="V10" i="22" s="1"/>
  <c r="AO75" i="4"/>
  <c r="AB58" i="19" s="1"/>
  <c r="AO64" i="4"/>
  <c r="V30" i="22" s="1"/>
  <c r="AO38" i="4"/>
  <c r="AO22" i="4"/>
  <c r="V7" i="22" s="1"/>
  <c r="AO70" i="4"/>
  <c r="V36" i="22" s="1"/>
  <c r="AO35" i="4"/>
  <c r="V20" i="22" s="1"/>
  <c r="AO66" i="4"/>
  <c r="V32" i="22" s="1"/>
  <c r="AO34" i="4"/>
  <c r="V19" i="22" s="1"/>
  <c r="AO63" i="4"/>
  <c r="V29" i="22" s="1"/>
  <c r="AO33" i="4"/>
  <c r="V18" i="22" s="1"/>
  <c r="AO62" i="4"/>
  <c r="V28" i="22" s="1"/>
  <c r="AO32" i="4"/>
  <c r="V17" i="22" s="1"/>
  <c r="AO61" i="4"/>
  <c r="V27" i="22" s="1"/>
  <c r="AO31" i="4"/>
  <c r="V16" i="22" s="1"/>
  <c r="AO27" i="4"/>
  <c r="V12" i="22" s="1"/>
  <c r="AO24" i="4"/>
  <c r="V9" i="22" s="1"/>
  <c r="AO23" i="4"/>
  <c r="V8" i="22" s="1"/>
  <c r="AO74" i="4"/>
  <c r="AB57" i="19" s="1"/>
  <c r="AO60" i="4"/>
  <c r="V26" i="22" s="1"/>
  <c r="AO21" i="4"/>
  <c r="V6" i="22" s="1"/>
  <c r="AO59" i="4"/>
  <c r="V25" i="22" s="1"/>
  <c r="AO20" i="4"/>
  <c r="V5" i="22" s="1"/>
  <c r="AO58" i="4"/>
  <c r="V24" i="22" s="1"/>
  <c r="AO71" i="4"/>
  <c r="W73" i="19" l="1"/>
  <c r="V23" i="22"/>
  <c r="V37" i="22"/>
  <c r="R23" i="22"/>
  <c r="R37" i="22"/>
  <c r="T23" i="22"/>
  <c r="T37" i="22"/>
  <c r="P23" i="22"/>
  <c r="P37" i="22"/>
  <c r="N23" i="22"/>
  <c r="N37" i="22"/>
  <c r="O154" i="4"/>
  <c r="X154" i="4"/>
  <c r="AO36" i="4"/>
  <c r="R154" i="4"/>
  <c r="AM154" i="4"/>
  <c r="AJ154" i="4"/>
  <c r="AG154" i="4"/>
  <c r="AD154" i="4"/>
  <c r="AA154" i="4"/>
  <c r="U154" i="4"/>
  <c r="L154" i="4"/>
  <c r="W54" i="4"/>
  <c r="W160" i="4" s="1"/>
  <c r="W36" i="4"/>
  <c r="AC57" i="19"/>
  <c r="AC54" i="19"/>
  <c r="AC51" i="19"/>
  <c r="AC62" i="19"/>
  <c r="AC60" i="19"/>
  <c r="AC58" i="19"/>
  <c r="AC59" i="19"/>
  <c r="AC52" i="19"/>
  <c r="AB73" i="19"/>
  <c r="Z73" i="19"/>
  <c r="AC65" i="19"/>
  <c r="AC69" i="19"/>
  <c r="AC45" i="19"/>
  <c r="AC49" i="19"/>
  <c r="AC47" i="19"/>
  <c r="Y73" i="19"/>
  <c r="AC61" i="19"/>
  <c r="AC43" i="19"/>
  <c r="AC72" i="19"/>
  <c r="AC44" i="19"/>
  <c r="AC55" i="19"/>
  <c r="AC64" i="19"/>
  <c r="AC67" i="19"/>
  <c r="AC53" i="19"/>
  <c r="AC70" i="19"/>
  <c r="AC46" i="19"/>
  <c r="AC50" i="19"/>
  <c r="AC66" i="19"/>
  <c r="AC71" i="19"/>
  <c r="AC48" i="19"/>
  <c r="AC63" i="19"/>
  <c r="AA73" i="19"/>
  <c r="AC68" i="19"/>
  <c r="AR77" i="4"/>
  <c r="AR79" i="4"/>
  <c r="AR82" i="4"/>
  <c r="AR89" i="4"/>
  <c r="AR84" i="4"/>
  <c r="AL90" i="4"/>
  <c r="AR86" i="4"/>
  <c r="AR87" i="4"/>
  <c r="AR78" i="4"/>
  <c r="AR81" i="4"/>
  <c r="AR83" i="4"/>
  <c r="AR88" i="4"/>
  <c r="AR80" i="4"/>
  <c r="AR85" i="4"/>
  <c r="Z54" i="4"/>
  <c r="Z160" i="4" s="1"/>
  <c r="Q54" i="4"/>
  <c r="Q160" i="4" s="1"/>
  <c r="AO54" i="4"/>
  <c r="AO160" i="4" s="1"/>
  <c r="AL54" i="4"/>
  <c r="AL160" i="4" s="1"/>
  <c r="AF54" i="4"/>
  <c r="AF160" i="4" s="1"/>
  <c r="AC54" i="4"/>
  <c r="AC160" i="4" s="1"/>
  <c r="AI54" i="4"/>
  <c r="AI160" i="4" s="1"/>
  <c r="N54" i="4"/>
  <c r="N160" i="4" s="1"/>
  <c r="T54" i="4"/>
  <c r="T160" i="4" s="1"/>
  <c r="N72" i="4"/>
  <c r="AO90" i="4"/>
  <c r="T90" i="4"/>
  <c r="AI90" i="4"/>
  <c r="AF90" i="4"/>
  <c r="N90" i="4"/>
  <c r="W90" i="4"/>
  <c r="Z90" i="4"/>
  <c r="AC90" i="4"/>
  <c r="Q90" i="4"/>
  <c r="AR50" i="4"/>
  <c r="AR41" i="4"/>
  <c r="AR45" i="4"/>
  <c r="AR44" i="4"/>
  <c r="AR46" i="4"/>
  <c r="AR52" i="4"/>
  <c r="AR43" i="4"/>
  <c r="AR42" i="4"/>
  <c r="AR47" i="4"/>
  <c r="AR51" i="4"/>
  <c r="AR53" i="4"/>
  <c r="AR48" i="4"/>
  <c r="AR49" i="4"/>
  <c r="R17" i="4"/>
  <c r="R15" i="4"/>
  <c r="T2" i="4"/>
  <c r="L71" i="19"/>
  <c r="H62" i="19"/>
  <c r="G68" i="19"/>
  <c r="I68" i="19"/>
  <c r="E47" i="19"/>
  <c r="E55" i="19"/>
  <c r="M47" i="19"/>
  <c r="L72" i="19"/>
  <c r="F68" i="19"/>
  <c r="F52" i="19"/>
  <c r="K70" i="19"/>
  <c r="K72" i="19"/>
  <c r="K41" i="19"/>
  <c r="J67" i="19"/>
  <c r="J45" i="19"/>
  <c r="J70" i="19"/>
  <c r="H58" i="19"/>
  <c r="H64" i="19"/>
  <c r="G54" i="19"/>
  <c r="G49" i="19"/>
  <c r="I64" i="19"/>
  <c r="I44" i="19"/>
  <c r="E69" i="19"/>
  <c r="E52" i="19"/>
  <c r="M51" i="19"/>
  <c r="M65" i="19"/>
  <c r="M69" i="19"/>
  <c r="L49" i="19"/>
  <c r="L41" i="19"/>
  <c r="F46" i="19"/>
  <c r="F55" i="19"/>
  <c r="F41" i="19"/>
  <c r="K55" i="19"/>
  <c r="K43" i="19"/>
  <c r="K53" i="19"/>
  <c r="J59" i="19"/>
  <c r="J71" i="19"/>
  <c r="J46" i="19"/>
  <c r="H69" i="19"/>
  <c r="H68" i="19"/>
  <c r="H45" i="19"/>
  <c r="G60" i="19"/>
  <c r="I46" i="19"/>
  <c r="I71" i="19"/>
  <c r="I60" i="19"/>
  <c r="E58" i="19"/>
  <c r="E48" i="19"/>
  <c r="E62" i="19"/>
  <c r="G41" i="19"/>
  <c r="M62" i="19"/>
  <c r="M50" i="19"/>
  <c r="L53" i="19"/>
  <c r="F53" i="19"/>
  <c r="K71" i="19"/>
  <c r="K44" i="19"/>
  <c r="K42" i="19"/>
  <c r="J41" i="19"/>
  <c r="J66" i="19"/>
  <c r="H70" i="19"/>
  <c r="H48" i="19"/>
  <c r="H65" i="19"/>
  <c r="G72" i="19"/>
  <c r="G55" i="19"/>
  <c r="G69" i="19"/>
  <c r="I47" i="19"/>
  <c r="I72" i="19"/>
  <c r="E41" i="19"/>
  <c r="E70" i="19"/>
  <c r="F45" i="19"/>
  <c r="K51" i="19"/>
  <c r="K69" i="19"/>
  <c r="J55" i="19"/>
  <c r="J65" i="19"/>
  <c r="M52" i="19"/>
  <c r="J47" i="19"/>
  <c r="J68" i="19"/>
  <c r="H71" i="19"/>
  <c r="G42" i="19"/>
  <c r="G50" i="19"/>
  <c r="I48" i="19"/>
  <c r="E60" i="19"/>
  <c r="M59" i="19"/>
  <c r="M46" i="19"/>
  <c r="M70" i="19"/>
  <c r="L69" i="19"/>
  <c r="L42" i="19"/>
  <c r="F48" i="19"/>
  <c r="K47" i="19"/>
  <c r="H59" i="19"/>
  <c r="H66" i="19"/>
  <c r="G58" i="19"/>
  <c r="I69" i="19"/>
  <c r="E64" i="19"/>
  <c r="M66" i="19"/>
  <c r="L50" i="19"/>
  <c r="L54" i="19"/>
  <c r="F49" i="19"/>
  <c r="F42" i="19"/>
  <c r="K64" i="19"/>
  <c r="J49" i="19"/>
  <c r="H47" i="19"/>
  <c r="M44" i="19"/>
  <c r="M42" i="19"/>
  <c r="L55" i="19"/>
  <c r="F51" i="19"/>
  <c r="F72" i="19"/>
  <c r="K61" i="19"/>
  <c r="J54" i="19"/>
  <c r="J58" i="19"/>
  <c r="H52" i="19"/>
  <c r="G67" i="19"/>
  <c r="G59" i="19"/>
  <c r="M72" i="19"/>
  <c r="M58" i="19"/>
  <c r="L46" i="19"/>
  <c r="L61" i="19"/>
  <c r="F47" i="19"/>
  <c r="F65" i="19"/>
  <c r="F61" i="19"/>
  <c r="J72" i="19"/>
  <c r="H43" i="19"/>
  <c r="H46" i="19"/>
  <c r="G61" i="19"/>
  <c r="I51" i="19"/>
  <c r="I41" i="19"/>
  <c r="E49" i="19"/>
  <c r="M63" i="19"/>
  <c r="K62" i="19"/>
  <c r="J60" i="19"/>
  <c r="J42" i="19"/>
  <c r="H44" i="19"/>
  <c r="H61" i="19"/>
  <c r="G43" i="19"/>
  <c r="I59" i="19"/>
  <c r="I53" i="19"/>
  <c r="E42" i="19"/>
  <c r="M53" i="19"/>
  <c r="L43" i="19"/>
  <c r="F63" i="19"/>
  <c r="K58" i="19"/>
  <c r="J48" i="19"/>
  <c r="H55" i="19"/>
  <c r="H41" i="19"/>
  <c r="G44" i="19"/>
  <c r="G62" i="19"/>
  <c r="I65" i="19"/>
  <c r="E63" i="19"/>
  <c r="E50" i="19"/>
  <c r="M60" i="19"/>
  <c r="M64" i="19"/>
  <c r="L66" i="19"/>
  <c r="F54" i="19"/>
  <c r="K48" i="19"/>
  <c r="K45" i="19"/>
  <c r="J61" i="19"/>
  <c r="H49" i="19"/>
  <c r="H60" i="19"/>
  <c r="G47" i="19"/>
  <c r="G71" i="19"/>
  <c r="I49" i="19"/>
  <c r="I61" i="19"/>
  <c r="E45" i="19"/>
  <c r="M41" i="19"/>
  <c r="M54" i="19"/>
  <c r="M48" i="19"/>
  <c r="L44" i="19"/>
  <c r="L48" i="19"/>
  <c r="L58" i="19"/>
  <c r="F59" i="19"/>
  <c r="F64" i="19"/>
  <c r="F50" i="19"/>
  <c r="K63" i="19"/>
  <c r="K65" i="19"/>
  <c r="J51" i="19"/>
  <c r="J69" i="19"/>
  <c r="H50" i="19"/>
  <c r="G63" i="19"/>
  <c r="G48" i="19"/>
  <c r="G45" i="19"/>
  <c r="I66" i="19"/>
  <c r="I42" i="19"/>
  <c r="E67" i="19"/>
  <c r="E59" i="19"/>
  <c r="E65" i="19"/>
  <c r="M61" i="19"/>
  <c r="M67" i="19"/>
  <c r="L67" i="19"/>
  <c r="L64" i="19"/>
  <c r="L70" i="19"/>
  <c r="F44" i="19"/>
  <c r="F43" i="19"/>
  <c r="F58" i="19"/>
  <c r="F62" i="19"/>
  <c r="K49" i="19"/>
  <c r="K59" i="19"/>
  <c r="K46" i="19"/>
  <c r="J63" i="19"/>
  <c r="J44" i="19"/>
  <c r="H51" i="19"/>
  <c r="H63" i="19"/>
  <c r="H42" i="19"/>
  <c r="G51" i="19"/>
  <c r="G65" i="19"/>
  <c r="I45" i="19"/>
  <c r="I50" i="19"/>
  <c r="I54" i="19"/>
  <c r="E53" i="19"/>
  <c r="E61" i="19"/>
  <c r="E44" i="19"/>
  <c r="M55" i="19"/>
  <c r="M68" i="19"/>
  <c r="L45" i="19"/>
  <c r="L51" i="19"/>
  <c r="F67" i="19"/>
  <c r="F66" i="19"/>
  <c r="F70" i="19"/>
  <c r="K67" i="19"/>
  <c r="K52" i="19"/>
  <c r="K66" i="19"/>
  <c r="J53" i="19"/>
  <c r="J52" i="19"/>
  <c r="J50" i="19"/>
  <c r="H54" i="19"/>
  <c r="G64" i="19"/>
  <c r="G46" i="19"/>
  <c r="I52" i="19"/>
  <c r="I67" i="19"/>
  <c r="I58" i="19"/>
  <c r="I62" i="19"/>
  <c r="E66" i="19"/>
  <c r="L60" i="19"/>
  <c r="I55" i="19"/>
  <c r="M45" i="19"/>
  <c r="K54" i="19"/>
  <c r="H72" i="19"/>
  <c r="L59" i="19"/>
  <c r="F69" i="19"/>
  <c r="E71" i="19"/>
  <c r="L47" i="19"/>
  <c r="G52" i="19"/>
  <c r="G70" i="19"/>
  <c r="E43" i="19"/>
  <c r="L63" i="19"/>
  <c r="L62" i="19"/>
  <c r="J43" i="19"/>
  <c r="H53" i="19"/>
  <c r="E72" i="19"/>
  <c r="M43" i="19"/>
  <c r="M71" i="19"/>
  <c r="M49" i="19"/>
  <c r="L68" i="19"/>
  <c r="L65" i="19"/>
  <c r="L52" i="19"/>
  <c r="F71" i="19"/>
  <c r="F60" i="19"/>
  <c r="K60" i="19"/>
  <c r="K50" i="19"/>
  <c r="K68" i="19"/>
  <c r="J64" i="19"/>
  <c r="J62" i="19"/>
  <c r="H67" i="19"/>
  <c r="G53" i="19"/>
  <c r="G66" i="19"/>
  <c r="I63" i="19"/>
  <c r="I43" i="19"/>
  <c r="I70" i="19"/>
  <c r="E46" i="19"/>
  <c r="E68" i="19"/>
  <c r="E51" i="19"/>
  <c r="E54" i="19"/>
  <c r="AR75" i="4"/>
  <c r="AR76" i="4"/>
  <c r="D53" i="19"/>
  <c r="AR33" i="4"/>
  <c r="V40" i="19"/>
  <c r="V73" i="19" s="1"/>
  <c r="I40" i="19"/>
  <c r="AC36" i="4"/>
  <c r="AA40" i="19"/>
  <c r="J40" i="19"/>
  <c r="AF36" i="4"/>
  <c r="D43" i="19"/>
  <c r="AR23" i="4"/>
  <c r="D58" i="19"/>
  <c r="AR57" i="4"/>
  <c r="L57" i="19"/>
  <c r="AL72" i="4"/>
  <c r="D70" i="19"/>
  <c r="AR69" i="4"/>
  <c r="D55" i="19"/>
  <c r="AR35" i="4"/>
  <c r="D65" i="19"/>
  <c r="AR64" i="4"/>
  <c r="T40" i="19"/>
  <c r="T73" i="19" s="1"/>
  <c r="S40" i="19"/>
  <c r="AR38" i="4"/>
  <c r="S42" i="19"/>
  <c r="AC42" i="19" s="1"/>
  <c r="AR40" i="4"/>
  <c r="E57" i="19"/>
  <c r="Q72" i="4"/>
  <c r="F40" i="19"/>
  <c r="T36" i="4"/>
  <c r="F57" i="19"/>
  <c r="T72" i="4"/>
  <c r="K40" i="19"/>
  <c r="AI36" i="4"/>
  <c r="D51" i="19"/>
  <c r="AR31" i="4"/>
  <c r="D66" i="19"/>
  <c r="AR65" i="4"/>
  <c r="D40" i="19"/>
  <c r="AR20" i="4"/>
  <c r="N36" i="4"/>
  <c r="Z40" i="19"/>
  <c r="D64" i="19"/>
  <c r="AR63" i="4"/>
  <c r="D44" i="19"/>
  <c r="AR24" i="4"/>
  <c r="J57" i="19"/>
  <c r="AF72" i="4"/>
  <c r="D72" i="19"/>
  <c r="AR71" i="4"/>
  <c r="D50" i="19"/>
  <c r="AR30" i="4"/>
  <c r="D41" i="19"/>
  <c r="AR21" i="4"/>
  <c r="S41" i="19"/>
  <c r="AC41" i="19" s="1"/>
  <c r="AR39" i="4"/>
  <c r="W40" i="19"/>
  <c r="K57" i="19"/>
  <c r="AI72" i="4"/>
  <c r="D60" i="19"/>
  <c r="AR59" i="4"/>
  <c r="D45" i="19"/>
  <c r="AR25" i="4"/>
  <c r="H57" i="19"/>
  <c r="Z72" i="4"/>
  <c r="M40" i="19"/>
  <c r="D52" i="19"/>
  <c r="AR32" i="4"/>
  <c r="E40" i="19"/>
  <c r="Q36" i="4"/>
  <c r="D63" i="19"/>
  <c r="AR62" i="4"/>
  <c r="D57" i="19"/>
  <c r="AR56" i="4"/>
  <c r="H40" i="19"/>
  <c r="Z36" i="4"/>
  <c r="D61" i="19"/>
  <c r="AR60" i="4"/>
  <c r="G57" i="19"/>
  <c r="W72" i="4"/>
  <c r="U40" i="19"/>
  <c r="U73" i="19" s="1"/>
  <c r="D62" i="19"/>
  <c r="AR61" i="4"/>
  <c r="L40" i="19"/>
  <c r="AL36" i="4"/>
  <c r="D47" i="19"/>
  <c r="AR27" i="4"/>
  <c r="D67" i="19"/>
  <c r="AR66" i="4"/>
  <c r="D68" i="19"/>
  <c r="AR67" i="4"/>
  <c r="G40" i="19"/>
  <c r="AR74" i="4"/>
  <c r="D49" i="19"/>
  <c r="AR29" i="4"/>
  <c r="D54" i="19"/>
  <c r="AR34" i="4"/>
  <c r="AB40" i="19"/>
  <c r="M57" i="19"/>
  <c r="AO72" i="4"/>
  <c r="D46" i="19"/>
  <c r="AR26" i="4"/>
  <c r="D71" i="19"/>
  <c r="AR70" i="4"/>
  <c r="D42" i="19"/>
  <c r="AR22" i="4"/>
  <c r="X40" i="19"/>
  <c r="X73" i="19" s="1"/>
  <c r="Y40" i="19"/>
  <c r="D59" i="19"/>
  <c r="AR58" i="4"/>
  <c r="D48" i="19"/>
  <c r="AR28" i="4"/>
  <c r="D69" i="19"/>
  <c r="AR68" i="4"/>
  <c r="I57" i="19"/>
  <c r="AC72" i="4"/>
  <c r="I73" i="19" l="1"/>
  <c r="S73" i="19"/>
  <c r="B175" i="4"/>
  <c r="H2" i="22"/>
  <c r="X111" i="19"/>
  <c r="Y111" i="19"/>
  <c r="Z111" i="19"/>
  <c r="AA111" i="19"/>
  <c r="AB111" i="19"/>
  <c r="W111" i="19"/>
  <c r="AR90" i="4"/>
  <c r="U111" i="19"/>
  <c r="T111" i="19"/>
  <c r="V111" i="19"/>
  <c r="AR36" i="4"/>
  <c r="AR72" i="4"/>
  <c r="AR54" i="4"/>
  <c r="AP154" i="4"/>
  <c r="S111" i="19"/>
  <c r="Q92" i="4"/>
  <c r="N92" i="4"/>
  <c r="Z92" i="4"/>
  <c r="AL92" i="4"/>
  <c r="AO92" i="4"/>
  <c r="AR160" i="4"/>
  <c r="Z161" i="4"/>
  <c r="Z91" i="4"/>
  <c r="W161" i="4"/>
  <c r="W91" i="4"/>
  <c r="N161" i="4"/>
  <c r="N91" i="4"/>
  <c r="AI92" i="4"/>
  <c r="AF92" i="4"/>
  <c r="T92" i="4"/>
  <c r="AC92" i="4"/>
  <c r="AF161" i="4"/>
  <c r="AF91" i="4"/>
  <c r="AI161" i="4"/>
  <c r="AI91" i="4"/>
  <c r="AC91" i="4"/>
  <c r="AC161" i="4"/>
  <c r="AL161" i="4"/>
  <c r="AL91" i="4"/>
  <c r="T161" i="4"/>
  <c r="T91" i="4"/>
  <c r="AO91" i="4"/>
  <c r="AO161" i="4"/>
  <c r="W92" i="4"/>
  <c r="Q91" i="4"/>
  <c r="Q161" i="4"/>
  <c r="AC40" i="19"/>
  <c r="AC73" i="19" s="1"/>
  <c r="U2" i="4"/>
  <c r="T17" i="4"/>
  <c r="R18" i="4" s="1"/>
  <c r="U75" i="19"/>
  <c r="F110" i="19"/>
  <c r="U3" i="19"/>
  <c r="F39" i="19"/>
  <c r="U105" i="19"/>
  <c r="F104" i="19"/>
  <c r="F3" i="19"/>
  <c r="U110" i="19"/>
  <c r="U39" i="19"/>
  <c r="F75" i="19"/>
  <c r="N69" i="19"/>
  <c r="N46" i="19"/>
  <c r="N67" i="19"/>
  <c r="N41" i="19"/>
  <c r="N68" i="19"/>
  <c r="N61" i="19"/>
  <c r="N47" i="19"/>
  <c r="N65" i="19"/>
  <c r="H73" i="19"/>
  <c r="N58" i="19"/>
  <c r="N66" i="19"/>
  <c r="N45" i="19"/>
  <c r="N53" i="19"/>
  <c r="N42" i="19"/>
  <c r="N50" i="19"/>
  <c r="N44" i="19"/>
  <c r="N51" i="19"/>
  <c r="N48" i="19"/>
  <c r="N55" i="19"/>
  <c r="N59" i="19"/>
  <c r="N54" i="19"/>
  <c r="N62" i="19"/>
  <c r="N43" i="19"/>
  <c r="N49" i="19"/>
  <c r="N63" i="19"/>
  <c r="N60" i="19"/>
  <c r="N52" i="19"/>
  <c r="N71" i="19"/>
  <c r="N72" i="19"/>
  <c r="N64" i="19"/>
  <c r="N70" i="19"/>
  <c r="K73" i="19"/>
  <c r="G73" i="19"/>
  <c r="J73" i="19"/>
  <c r="E73" i="19"/>
  <c r="F73" i="19"/>
  <c r="M73" i="19"/>
  <c r="D73" i="19"/>
  <c r="N40" i="19"/>
  <c r="L73" i="19"/>
  <c r="N57" i="19"/>
  <c r="AC111" i="19" l="1"/>
  <c r="N73" i="19"/>
  <c r="T163" i="4"/>
  <c r="U107" i="19" s="1"/>
  <c r="N163" i="4"/>
  <c r="AI163" i="4"/>
  <c r="Z107" i="19" s="1"/>
  <c r="Q163" i="4"/>
  <c r="T107" i="19" s="1"/>
  <c r="AL163" i="4"/>
  <c r="AA107" i="19" s="1"/>
  <c r="Z163" i="4"/>
  <c r="W107" i="19" s="1"/>
  <c r="AF163" i="4"/>
  <c r="Y107" i="19" s="1"/>
  <c r="W163" i="4"/>
  <c r="V107" i="19" s="1"/>
  <c r="AC163" i="4"/>
  <c r="X107" i="19" s="1"/>
  <c r="AO163" i="4"/>
  <c r="AB107" i="19" s="1"/>
  <c r="AR91" i="4"/>
  <c r="AR92" i="4"/>
  <c r="AR161" i="4"/>
  <c r="U17" i="4"/>
  <c r="U15" i="4"/>
  <c r="W2" i="4"/>
  <c r="B176" i="4" l="1"/>
  <c r="J2" i="22"/>
  <c r="S107" i="19"/>
  <c r="AR163" i="4"/>
  <c r="X2" i="4"/>
  <c r="W17" i="4"/>
  <c r="U18" i="4" s="1"/>
  <c r="V75" i="19"/>
  <c r="V39" i="19"/>
  <c r="V3" i="19"/>
  <c r="V105" i="19"/>
  <c r="G104" i="19"/>
  <c r="G3" i="19"/>
  <c r="V110" i="19"/>
  <c r="G110" i="19"/>
  <c r="G39" i="19"/>
  <c r="G75" i="19"/>
  <c r="AC107" i="19" l="1"/>
  <c r="X17" i="4"/>
  <c r="X15" i="4"/>
  <c r="Z2" i="4"/>
  <c r="B177" i="4" l="1"/>
  <c r="L2" i="22"/>
  <c r="AA2" i="4"/>
  <c r="Z17" i="4"/>
  <c r="X18" i="4" s="1"/>
  <c r="H110" i="19"/>
  <c r="H39" i="19"/>
  <c r="H75" i="19"/>
  <c r="H3" i="19"/>
  <c r="W3" i="19"/>
  <c r="W75" i="19"/>
  <c r="W39" i="19"/>
  <c r="W105" i="19"/>
  <c r="H104" i="19"/>
  <c r="W110" i="19"/>
  <c r="AA17" i="4" l="1"/>
  <c r="AA15" i="4"/>
  <c r="AC2" i="4"/>
  <c r="B178" i="4" l="1"/>
  <c r="N2" i="22"/>
  <c r="AD2" i="4"/>
  <c r="AC17" i="4"/>
  <c r="AA18" i="4" s="1"/>
  <c r="I39" i="19"/>
  <c r="I75" i="19"/>
  <c r="X3" i="19"/>
  <c r="X39" i="19"/>
  <c r="X75" i="19"/>
  <c r="X105" i="19"/>
  <c r="I104" i="19"/>
  <c r="I3" i="19"/>
  <c r="X110" i="19"/>
  <c r="I110" i="19"/>
  <c r="AD17" i="4" l="1"/>
  <c r="AD15" i="4"/>
  <c r="AF2" i="4"/>
  <c r="B179" i="4" l="1"/>
  <c r="P2" i="22"/>
  <c r="AG2" i="4"/>
  <c r="AF17" i="4"/>
  <c r="AD18" i="4" s="1"/>
  <c r="Y105" i="19"/>
  <c r="J104" i="19"/>
  <c r="J3" i="19"/>
  <c r="J39" i="19"/>
  <c r="J75" i="19"/>
  <c r="Y3" i="19"/>
  <c r="Y39" i="19"/>
  <c r="Y110" i="19"/>
  <c r="J110" i="19"/>
  <c r="Y75" i="19"/>
  <c r="AG17" i="4" l="1"/>
  <c r="AG15" i="4"/>
  <c r="AI2" i="4"/>
  <c r="B180" i="4" l="1"/>
  <c r="R2" i="22"/>
  <c r="AJ2" i="4"/>
  <c r="AI17" i="4"/>
  <c r="AG18" i="4" s="1"/>
  <c r="K39" i="19"/>
  <c r="Z39" i="19"/>
  <c r="Z75" i="19"/>
  <c r="Z105" i="19"/>
  <c r="K104" i="19"/>
  <c r="K3" i="19"/>
  <c r="Z110" i="19"/>
  <c r="K110" i="19"/>
  <c r="K75" i="19"/>
  <c r="Z3" i="19"/>
  <c r="AJ15" i="4" l="1"/>
  <c r="AJ17" i="4"/>
  <c r="AL2" i="4"/>
  <c r="B181" i="4" l="1"/>
  <c r="T2" i="22"/>
  <c r="L104" i="19"/>
  <c r="L3" i="19"/>
  <c r="AA110" i="19"/>
  <c r="L110" i="19"/>
  <c r="L39" i="19"/>
  <c r="L75" i="19"/>
  <c r="AA3" i="19"/>
  <c r="AA39" i="19"/>
  <c r="AA75" i="19"/>
  <c r="AA105" i="19"/>
  <c r="AM2" i="4"/>
  <c r="AL17" i="4"/>
  <c r="AJ18" i="4" s="1"/>
  <c r="AM15" i="4" l="1"/>
  <c r="AM17" i="4"/>
  <c r="AO2" i="4"/>
  <c r="AO17" i="4" s="1"/>
  <c r="B182" i="4" l="1"/>
  <c r="V2" i="22"/>
  <c r="AM18" i="4"/>
  <c r="M110" i="19"/>
  <c r="M39" i="19"/>
  <c r="M75" i="19"/>
  <c r="AB3" i="19"/>
  <c r="AB105" i="19"/>
  <c r="AB39" i="19"/>
  <c r="AB75" i="19"/>
  <c r="M104" i="19"/>
  <c r="M3" i="19"/>
  <c r="AB110" i="19"/>
  <c r="F100" i="19"/>
  <c r="AC156" i="4" l="1"/>
  <c r="Z156" i="4"/>
  <c r="E100" i="19"/>
  <c r="L100" i="19"/>
  <c r="J100" i="19"/>
  <c r="M100" i="19"/>
  <c r="K100" i="19"/>
  <c r="H100" i="19"/>
  <c r="I100" i="19"/>
  <c r="H107" i="19" l="1"/>
  <c r="L68" i="22"/>
  <c r="I107" i="19"/>
  <c r="N68" i="22"/>
  <c r="W156" i="4"/>
  <c r="T156" i="4"/>
  <c r="D100" i="19"/>
  <c r="AR119" i="4"/>
  <c r="G100" i="19"/>
  <c r="F107" i="19" l="1"/>
  <c r="H68" i="22"/>
  <c r="G107" i="19"/>
  <c r="J68" i="22"/>
  <c r="AI156" i="4"/>
  <c r="AF156" i="4"/>
  <c r="AL156" i="4"/>
  <c r="Q156" i="4"/>
  <c r="N100" i="19"/>
  <c r="E107" i="19" l="1"/>
  <c r="F68" i="22"/>
  <c r="J107" i="19"/>
  <c r="P68" i="22"/>
  <c r="L107" i="19"/>
  <c r="T68" i="22"/>
  <c r="K107" i="19"/>
  <c r="R68" i="22"/>
  <c r="N120" i="4" l="1" a="1"/>
  <c r="N120" i="4" s="1"/>
  <c r="D55" i="22" l="1"/>
  <c r="N121" i="4"/>
  <c r="N150" i="4" s="1"/>
  <c r="N153" i="4" s="1"/>
  <c r="N148" i="4"/>
  <c r="N149" i="4" s="1"/>
  <c r="D101" i="19"/>
  <c r="D102" i="19" s="1"/>
  <c r="W120" i="4" a="1"/>
  <c r="W120" i="4" s="1"/>
  <c r="T120" i="4" a="1"/>
  <c r="T120" i="4" s="1"/>
  <c r="Z120" i="4" a="1"/>
  <c r="Z120" i="4" s="1"/>
  <c r="Q120" i="4" a="1"/>
  <c r="Q120" i="4" s="1"/>
  <c r="Q121" i="4" s="1"/>
  <c r="AC120" i="4" a="1"/>
  <c r="AC120" i="4" s="1"/>
  <c r="AI120" i="4" a="1"/>
  <c r="AI120" i="4" s="1"/>
  <c r="AF120" i="4" a="1"/>
  <c r="AF120" i="4" s="1"/>
  <c r="AL120" i="4" a="1"/>
  <c r="AL120" i="4" s="1"/>
  <c r="AO120" i="4" a="1"/>
  <c r="AO120" i="4" s="1"/>
  <c r="T55" i="22" l="1"/>
  <c r="T69" i="22" s="1"/>
  <c r="AL121" i="4"/>
  <c r="AL150" i="4" s="1"/>
  <c r="AL153" i="4" s="1"/>
  <c r="N55" i="22"/>
  <c r="N69" i="22" s="1"/>
  <c r="AC121" i="4"/>
  <c r="AC150" i="4" s="1"/>
  <c r="AC153" i="4" s="1"/>
  <c r="F55" i="22"/>
  <c r="F69" i="22" s="1"/>
  <c r="Q150" i="4"/>
  <c r="Q153" i="4" s="1"/>
  <c r="H55" i="22"/>
  <c r="H69" i="22" s="1"/>
  <c r="T121" i="4"/>
  <c r="T150" i="4" s="1"/>
  <c r="T153" i="4" s="1"/>
  <c r="J55" i="22"/>
  <c r="J69" i="22" s="1"/>
  <c r="W121" i="4"/>
  <c r="W150" i="4" s="1"/>
  <c r="W153" i="4" s="1"/>
  <c r="R55" i="22"/>
  <c r="R69" i="22" s="1"/>
  <c r="AI121" i="4"/>
  <c r="AI150" i="4" s="1"/>
  <c r="AI153" i="4" s="1"/>
  <c r="N162" i="4"/>
  <c r="P55" i="22"/>
  <c r="P69" i="22" s="1"/>
  <c r="AF121" i="4"/>
  <c r="AF150" i="4" s="1"/>
  <c r="AF153" i="4" s="1"/>
  <c r="L55" i="22"/>
  <c r="L69" i="22" s="1"/>
  <c r="Z121" i="4"/>
  <c r="Z150" i="4" s="1"/>
  <c r="Z153" i="4" s="1"/>
  <c r="N156" i="4"/>
  <c r="N157" i="4" s="1"/>
  <c r="M154" i="4"/>
  <c r="M155" i="4"/>
  <c r="D105" i="19"/>
  <c r="V55" i="22"/>
  <c r="AO121" i="4"/>
  <c r="AO150" i="4" s="1"/>
  <c r="AO153" i="4" s="1"/>
  <c r="AR120" i="4"/>
  <c r="M101" i="19"/>
  <c r="M102" i="19" s="1"/>
  <c r="AO148" i="4"/>
  <c r="AL148" i="4"/>
  <c r="L101" i="19"/>
  <c r="L102" i="19" s="1"/>
  <c r="AI148" i="4"/>
  <c r="K101" i="19"/>
  <c r="K102" i="19" s="1"/>
  <c r="I101" i="19"/>
  <c r="I102" i="19" s="1"/>
  <c r="AC148" i="4"/>
  <c r="T148" i="4"/>
  <c r="F101" i="19"/>
  <c r="F102" i="19" s="1"/>
  <c r="J101" i="19"/>
  <c r="J102" i="19" s="1"/>
  <c r="AF148" i="4"/>
  <c r="Z148" i="4"/>
  <c r="H101" i="19"/>
  <c r="H102" i="19" s="1"/>
  <c r="G101" i="19"/>
  <c r="G102" i="19" s="1"/>
  <c r="W148" i="4"/>
  <c r="Q148" i="4"/>
  <c r="E101" i="19"/>
  <c r="E102" i="19" s="1"/>
  <c r="S101" i="19"/>
  <c r="S102" i="19" s="1"/>
  <c r="AR121" i="4" l="1"/>
  <c r="AR150" i="4" s="1"/>
  <c r="K105" i="19"/>
  <c r="K108" i="19" s="1"/>
  <c r="AH154" i="4"/>
  <c r="AH155" i="4"/>
  <c r="AI157" i="4"/>
  <c r="T101" i="19"/>
  <c r="T102" i="19" s="1"/>
  <c r="Q149" i="4"/>
  <c r="AA101" i="19"/>
  <c r="AL149" i="4"/>
  <c r="AL162" i="4" s="1"/>
  <c r="AB101" i="19"/>
  <c r="AO149" i="4"/>
  <c r="AO162" i="4" s="1"/>
  <c r="Y155" i="4"/>
  <c r="H105" i="19"/>
  <c r="H108" i="19" s="1"/>
  <c r="Y154" i="4"/>
  <c r="Z157" i="4"/>
  <c r="Y101" i="19"/>
  <c r="AF149" i="4"/>
  <c r="AF162" i="4" s="1"/>
  <c r="J105" i="19"/>
  <c r="J108" i="19" s="1"/>
  <c r="AE155" i="4"/>
  <c r="AE154" i="4"/>
  <c r="AF157" i="4"/>
  <c r="AB154" i="4"/>
  <c r="I105" i="19"/>
  <c r="I108" i="19" s="1"/>
  <c r="AB155" i="4"/>
  <c r="AC157" i="4"/>
  <c r="Z101" i="19"/>
  <c r="AI149" i="4"/>
  <c r="AI162" i="4" s="1"/>
  <c r="P154" i="4"/>
  <c r="P155" i="4"/>
  <c r="E105" i="19"/>
  <c r="E108" i="19" s="1"/>
  <c r="Q157" i="4"/>
  <c r="AR153" i="4"/>
  <c r="AQ155" i="4" s="1"/>
  <c r="G105" i="19"/>
  <c r="G108" i="19" s="1"/>
  <c r="V154" i="4"/>
  <c r="V155" i="4"/>
  <c r="W157" i="4"/>
  <c r="V101" i="19"/>
  <c r="V102" i="19" s="1"/>
  <c r="W149" i="4"/>
  <c r="W162" i="4" s="1"/>
  <c r="S154" i="4"/>
  <c r="S155" i="4"/>
  <c r="F105" i="19"/>
  <c r="F108" i="19" s="1"/>
  <c r="T157" i="4"/>
  <c r="W101" i="19"/>
  <c r="W102" i="19" s="1"/>
  <c r="Z149" i="4"/>
  <c r="Z162" i="4" s="1"/>
  <c r="U101" i="19"/>
  <c r="U102" i="19" s="1"/>
  <c r="T149" i="4"/>
  <c r="T162" i="4" s="1"/>
  <c r="AO156" i="4"/>
  <c r="AO157" i="4" s="1"/>
  <c r="AN154" i="4"/>
  <c r="AN155" i="4"/>
  <c r="M105" i="19"/>
  <c r="L105" i="19"/>
  <c r="L108" i="19" s="1"/>
  <c r="AK154" i="4"/>
  <c r="AK155" i="4"/>
  <c r="AL157" i="4"/>
  <c r="D68" i="22"/>
  <c r="D69" i="22" s="1"/>
  <c r="D107" i="19"/>
  <c r="X101" i="19"/>
  <c r="X102" i="19" s="1"/>
  <c r="AC149" i="4"/>
  <c r="AC162" i="4" s="1"/>
  <c r="S106" i="19"/>
  <c r="N164" i="4"/>
  <c r="N101" i="19"/>
  <c r="N102" i="19" s="1"/>
  <c r="AR148" i="4"/>
  <c r="AR156" i="4" l="1"/>
  <c r="AR157" i="4"/>
  <c r="AQ168" i="4" s="1"/>
  <c r="AR149" i="4"/>
  <c r="AC101" i="19"/>
  <c r="AC102" i="19" s="1"/>
  <c r="U106" i="19"/>
  <c r="U108" i="19" s="1"/>
  <c r="F111" i="19" s="1"/>
  <c r="T164" i="4"/>
  <c r="H73" i="22" s="1"/>
  <c r="AB106" i="19"/>
  <c r="AB108" i="19" s="1"/>
  <c r="AO164" i="4"/>
  <c r="V73" i="22" s="1"/>
  <c r="W106" i="19"/>
  <c r="W108" i="19" s="1"/>
  <c r="H111" i="19" s="1"/>
  <c r="Z164" i="4"/>
  <c r="L73" i="22" s="1"/>
  <c r="Q162" i="4"/>
  <c r="D73" i="22"/>
  <c r="Z106" i="19"/>
  <c r="Z108" i="19" s="1"/>
  <c r="K111" i="19" s="1"/>
  <c r="AI164" i="4"/>
  <c r="R73" i="22" s="1"/>
  <c r="Y106" i="19"/>
  <c r="Y108" i="19" s="1"/>
  <c r="J111" i="19" s="1"/>
  <c r="AF164" i="4"/>
  <c r="P73" i="22" s="1"/>
  <c r="S108" i="19"/>
  <c r="N105" i="19"/>
  <c r="V106" i="19"/>
  <c r="V108" i="19" s="1"/>
  <c r="G111" i="19" s="1"/>
  <c r="W164" i="4"/>
  <c r="J73" i="22" s="1"/>
  <c r="AQ154" i="4"/>
  <c r="Q111" i="19" s="1"/>
  <c r="C106" i="19"/>
  <c r="X106" i="19"/>
  <c r="X108" i="19" s="1"/>
  <c r="I111" i="19" s="1"/>
  <c r="AC164" i="4"/>
  <c r="N73" i="22" s="1"/>
  <c r="N166" i="4"/>
  <c r="M164" i="4" s="1"/>
  <c r="AA106" i="19"/>
  <c r="AA108" i="19" s="1"/>
  <c r="L111" i="19" s="1"/>
  <c r="AL164" i="4"/>
  <c r="T73" i="22" s="1"/>
  <c r="D108" i="19"/>
  <c r="V68" i="22"/>
  <c r="V69" i="22" s="1"/>
  <c r="C69" i="22" s="1"/>
  <c r="M107" i="19"/>
  <c r="N107" i="19" s="1"/>
  <c r="AL166" i="4" l="1"/>
  <c r="AK164" i="4" s="1"/>
  <c r="N108" i="19"/>
  <c r="D111" i="19"/>
  <c r="T166" i="4"/>
  <c r="S164" i="4" s="1"/>
  <c r="AI166" i="4"/>
  <c r="AH164" i="4" s="1"/>
  <c r="AO166" i="4"/>
  <c r="AN164" i="4" s="1"/>
  <c r="AC166" i="4"/>
  <c r="AB164" i="4" s="1"/>
  <c r="Z166" i="4"/>
  <c r="Y164" i="4" s="1"/>
  <c r="M108" i="19"/>
  <c r="M111" i="19" s="1"/>
  <c r="AR162" i="4"/>
  <c r="AR164" i="4" s="1"/>
  <c r="T106" i="19"/>
  <c r="Q164" i="4"/>
  <c r="W166" i="4"/>
  <c r="V164" i="4" s="1"/>
  <c r="AF166" i="4"/>
  <c r="AE164" i="4" s="1"/>
  <c r="F73" i="22" l="1"/>
  <c r="C73" i="22" s="1"/>
  <c r="Q166" i="4"/>
  <c r="T108" i="19"/>
  <c r="E111" i="19" s="1"/>
  <c r="N111" i="19" s="1"/>
  <c r="AC106" i="19"/>
  <c r="AC108" i="19" s="1"/>
  <c r="R108" i="19" l="1" a="1"/>
  <c r="R108" i="19" s="1"/>
  <c r="P164" i="4"/>
  <c r="AR166" i="4"/>
  <c r="AQ16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 Hornung-Nissen</author>
  </authors>
  <commentList>
    <comment ref="D3" authorId="0" shapeId="0" xr:uid="{C401E544-AC33-4B41-9CEA-6FB0E01FABC9}">
      <text>
        <r>
          <rPr>
            <sz val="9"/>
            <color indexed="81"/>
            <rFont val="Tahoma"/>
            <family val="2"/>
          </rPr>
          <t>Congrats. You found the guiding text by letting your mouse hover over this icon.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Eva Forsom</author>
    <author>Emil Hornung-Nissen</author>
    <author>Karsten Vraa Nielsen</author>
  </authors>
  <commentList>
    <comment ref="C4" authorId="0" shapeId="0" xr:uid="{06D4D3C4-0780-4A38-87B8-82BF0D099738}">
      <text>
        <r>
          <rPr>
            <b/>
            <sz val="9"/>
            <color indexed="81"/>
            <rFont val="Tahoma"/>
            <family val="2"/>
          </rPr>
          <t xml:space="preserve">Major changes from previous version:
08-01-2026
</t>
        </r>
        <r>
          <rPr>
            <sz val="9"/>
            <color indexed="81"/>
            <rFont val="Tahoma"/>
            <family val="2"/>
          </rPr>
          <t>Version of updated template with unadjusted 2025 project supplement, to be used for calls that opened in 2025 until further notice.</t>
        </r>
        <r>
          <rPr>
            <b/>
            <sz val="9"/>
            <color indexed="81"/>
            <rFont val="Tahoma"/>
            <family val="2"/>
          </rPr>
          <t xml:space="preserve">
13-11-2025
</t>
        </r>
        <r>
          <rPr>
            <sz val="9"/>
            <color indexed="81"/>
            <rFont val="Tahoma"/>
            <family val="2"/>
          </rPr>
          <t xml:space="preserve">Template for NERD based on NNF general template. 
- Corrected sums in total column (column AC) on 'Overview - AU'-sheet for co-financing of VIP salary, TAP salary, Operation and Dissemination etc. costs. </t>
        </r>
        <r>
          <rPr>
            <b/>
            <sz val="9"/>
            <color indexed="81"/>
            <rFont val="Tahoma"/>
            <family val="2"/>
          </rPr>
          <t xml:space="preserve">
28-10-2025
- </t>
        </r>
        <r>
          <rPr>
            <sz val="9"/>
            <color indexed="81"/>
            <rFont val="Tahoma"/>
            <family val="2"/>
          </rPr>
          <t xml:space="preserve">Added new fields (rows 170-196) for the administration: you can add an amount each year to the "purchase of departmental services" which is not otherwise part of the budget; You can now toggle between subtotal (default) and total to be used when calculating the percentage of purchases of departmental services ("inddækning") and project supplement.
- You can select your department if from AU - or otherwise type it in.
- Made the PhD tuition field visible regardles of institution (cells F8/F9).
- Added yes/no toggle to tuition fee and locked the fields (both for applied for+co-financing).
- Added more fields to co-financing (hidden by default but can be expanded with the +-sign).
- Added totals-row for co-financing salary month, cost and FTE's.
- Added section for bench fee, incl. field under the administration section 
- Some changes to the color scheme.
- Updated images in Guide
</t>
        </r>
        <r>
          <rPr>
            <b/>
            <sz val="9"/>
            <color indexed="81"/>
            <rFont val="Tahoma"/>
            <family val="2"/>
          </rPr>
          <t xml:space="preserve">
23-07-2025
</t>
        </r>
        <r>
          <rPr>
            <sz val="9"/>
            <color indexed="81"/>
            <rFont val="Tahoma"/>
            <family val="2"/>
          </rPr>
          <t>Added formula so purchase of departmental services as a percentage og direct costs is correct on the Overview- AU sheet if "Yes" is selected under "Subtract equipment from total when calculating purchase of departmental services?" in cell BB97 on the AU sheet.</t>
        </r>
        <r>
          <rPr>
            <b/>
            <sz val="9"/>
            <color indexed="81"/>
            <rFont val="Tahoma"/>
            <family val="2"/>
          </rPr>
          <t xml:space="preserve">
28-05-2025
</t>
        </r>
        <r>
          <rPr>
            <sz val="9"/>
            <color indexed="81"/>
            <rFont val="Tahoma"/>
            <family val="2"/>
          </rPr>
          <t>Corrected formula in the Overview - AU tab cells AC40, AC41, AC42, AC44, AC45 and AC46 to sum from the correct rows (so rows 40-46 instead of 4-10).</t>
        </r>
        <r>
          <rPr>
            <b/>
            <sz val="9"/>
            <color indexed="81"/>
            <rFont val="Tahoma"/>
            <family val="2"/>
          </rPr>
          <t xml:space="preserve">
28-03-2025
</t>
        </r>
        <r>
          <rPr>
            <sz val="9"/>
            <color indexed="81"/>
            <rFont val="Tahoma"/>
            <family val="2"/>
          </rPr>
          <t>Updated salary for hourly paid employees (students assistants and assistant programmers) to 2025 salary.</t>
        </r>
        <r>
          <rPr>
            <b/>
            <sz val="9"/>
            <color indexed="81"/>
            <rFont val="Tahoma"/>
            <family val="2"/>
          </rPr>
          <t xml:space="preserve">
06-02-2025:
</t>
        </r>
        <r>
          <rPr>
            <sz val="9"/>
            <color indexed="81"/>
            <rFont val="Tahoma"/>
            <family val="2"/>
          </rPr>
          <t>Updated with new salaries for 2025.</t>
        </r>
        <r>
          <rPr>
            <b/>
            <sz val="9"/>
            <color indexed="81"/>
            <rFont val="Tahoma"/>
            <family val="2"/>
          </rPr>
          <t xml:space="preserve">
09-01-2025:
</t>
        </r>
        <r>
          <rPr>
            <sz val="9"/>
            <color indexed="81"/>
            <rFont val="Tahoma"/>
            <family val="2"/>
          </rPr>
          <t xml:space="preserve">-Changed it so for project years the default salary extrapolation is now based on whether six months or more of a project year falls in a new calendar year. So if the salary is from 2024, and the project starts in June 2025 (so more than 6 months are in 2025), the salary is only extrapolated by the chosen percentage once the first year, but if it starts in July (so at least 6 months of the first year will be in 2026), it is extrapolated twice the first year (and once yearly after that).
- Added field for entering/changing default extrapolation factor for first year for when the date format is project years - as well as explanation of this in note in cell E10. 
-Added a few new colors to make it easier to distinguish between co-financing and applied for.
</t>
        </r>
        <r>
          <rPr>
            <b/>
            <sz val="9"/>
            <color indexed="81"/>
            <rFont val="Tahoma"/>
            <family val="2"/>
          </rPr>
          <t xml:space="preserve">06-01-2025:
</t>
        </r>
        <r>
          <rPr>
            <sz val="9"/>
            <color indexed="81"/>
            <rFont val="Tahoma"/>
            <family val="2"/>
          </rPr>
          <t xml:space="preserve">-Changed it so for project years the default salary extrapolation is now based on whether six months or more of a project year falls in a new calendar year. So if the salary is from 2024, and the project starts in June 2025 (so more than 6 months are in 2025), the salary is only extrapolated by the chosen percentage once the first year, but if it starts in July (so at least 6 months of the first year will be in 2026), it is extrapolated twice the first year (and once yearly after that).
- Added field for entering/changing default extrapolation factor for first year for when the date format is project years - as well as explanation of this in note in cell E10. </t>
        </r>
        <r>
          <rPr>
            <b/>
            <sz val="9"/>
            <color indexed="81"/>
            <rFont val="Tahoma"/>
            <family val="2"/>
          </rPr>
          <t xml:space="preserve">
10-12-2024:
</t>
        </r>
        <r>
          <rPr>
            <sz val="9"/>
            <color indexed="81"/>
            <rFont val="Tahoma"/>
            <family val="2"/>
          </rPr>
          <t>-minor typos</t>
        </r>
        <r>
          <rPr>
            <b/>
            <sz val="9"/>
            <color indexed="81"/>
            <rFont val="Tahoma"/>
            <family val="2"/>
          </rPr>
          <t xml:space="preserve">
17-10-2024:
</t>
        </r>
        <r>
          <rPr>
            <sz val="9"/>
            <color indexed="81"/>
            <rFont val="Tahoma"/>
            <family val="2"/>
          </rPr>
          <t>-Some changes to notes about foundation and overhead/indirect costs 
-Minor formatting changes</t>
        </r>
        <r>
          <rPr>
            <b/>
            <sz val="9"/>
            <color indexed="81"/>
            <rFont val="Tahoma"/>
            <family val="2"/>
          </rPr>
          <t xml:space="preserve">
14-10-2024:
</t>
        </r>
        <r>
          <rPr>
            <sz val="9"/>
            <color indexed="81"/>
            <rFont val="Tahoma"/>
            <family val="2"/>
          </rPr>
          <t>Change to calculation of extrapolation - now it takes into account if the project starts a whole year (or later) after the application/year of the salary estimates. This is for both calendar years and project year date formats. The factor is calculated as the year of the enddate of the first year of the project. This means that for project years, there will be extrapolation even if only part of a project year is a later year.</t>
        </r>
        <r>
          <rPr>
            <b/>
            <sz val="9"/>
            <color indexed="81"/>
            <rFont val="Tahoma"/>
            <family val="2"/>
          </rPr>
          <t xml:space="preserve">
</t>
        </r>
        <r>
          <rPr>
            <sz val="9"/>
            <color indexed="81"/>
            <rFont val="Tahoma"/>
            <family val="2"/>
          </rPr>
          <t>- it is now possible to enter a custom co-financed overhead percentage (the default is still the entered under applied for)</t>
        </r>
        <r>
          <rPr>
            <b/>
            <sz val="9"/>
            <color indexed="81"/>
            <rFont val="Tahoma"/>
            <family val="2"/>
          </rPr>
          <t xml:space="preserve">.
23-09-24:
</t>
        </r>
        <r>
          <rPr>
            <sz val="9"/>
            <color indexed="81"/>
            <rFont val="Tahoma"/>
            <family val="2"/>
          </rPr>
          <t>-Field for entering title
-Number of months in the project year is calculated and shown above the "months" tab for each year as a helpful tool.
If using calendar years, the salary will now only be extrapolated if the project starts in the next year (so for 2024 applications, if the project starts in 2025, there will be x% added yearly but not for the months in 2024.
The template can now handle other institutions and foundations. A true partner template is coming soon.
New tab with overview over man months and costs</t>
        </r>
      </text>
    </comment>
    <comment ref="E5" authorId="1" shapeId="0" xr:uid="{AF7161CF-B8A8-456D-AC82-96D5F8EAB3E9}">
      <text>
        <r>
          <rPr>
            <sz val="9"/>
            <color indexed="81"/>
            <rFont val="Tahoma"/>
            <family val="2"/>
          </rPr>
          <t xml:space="preserve">Choose institution. The 8 Danish universities or Other - if you choose "other", project supplement will not be added. </t>
        </r>
      </text>
    </comment>
    <comment ref="E6" authorId="1" shapeId="0" xr:uid="{4E0D38EC-9C76-4934-827A-9C2422694C5D}">
      <text>
        <r>
          <rPr>
            <sz val="9"/>
            <color indexed="81"/>
            <rFont val="Tahoma"/>
            <family val="2"/>
          </rPr>
          <t>Choose faculty. The chosen faculty affects the size of the project supplement, if applicable.</t>
        </r>
      </text>
    </comment>
    <comment ref="E7" authorId="0" shapeId="0" xr:uid="{B00D5A0A-3C52-4B51-9951-7281360C227C}">
      <text>
        <r>
          <rPr>
            <sz val="9"/>
            <color rgb="FF000000"/>
            <rFont val="Tahoma"/>
            <family val="2"/>
          </rPr>
          <t xml:space="preserve">Choose (if university is AU) or type in department.
</t>
        </r>
      </text>
    </comment>
    <comment ref="E8" authorId="1" shapeId="0" xr:uid="{61D27F83-4B60-40E3-9052-35123757D7C6}">
      <text>
        <r>
          <rPr>
            <sz val="9"/>
            <color indexed="81"/>
            <rFont val="Tahoma"/>
            <family val="2"/>
          </rPr>
          <t xml:space="preserve">Enter estimated start date.
</t>
        </r>
      </text>
    </comment>
    <comment ref="F8" authorId="0" shapeId="0" xr:uid="{C23B83E5-0329-4234-8EB2-00318A772E40}">
      <text>
        <r>
          <rPr>
            <sz val="9"/>
            <color indexed="81"/>
            <rFont val="Tahoma"/>
            <family val="2"/>
          </rPr>
          <t xml:space="preserve">Input the yearly tuition fee to apply for per full-time PhD student (5+3) per year.
</t>
        </r>
        <r>
          <rPr>
            <b/>
            <sz val="9"/>
            <color indexed="81"/>
            <rFont val="Tahoma"/>
            <family val="2"/>
          </rPr>
          <t xml:space="preserve">For AU only: </t>
        </r>
        <r>
          <rPr>
            <sz val="9"/>
            <color indexed="81"/>
            <rFont val="Tahoma"/>
            <family val="2"/>
          </rPr>
          <t xml:space="preserve">the tuition fee is given by default based on faculty and foundation. You can change it manually but if left blank, it will revert to the default value for AU.
</t>
        </r>
      </text>
    </comment>
    <comment ref="E9" authorId="1" shapeId="0" xr:uid="{2F3A090E-CBEF-40FC-8672-9247A0743865}">
      <text>
        <r>
          <rPr>
            <sz val="9"/>
            <color indexed="81"/>
            <rFont val="Tahoma"/>
            <family val="2"/>
          </rPr>
          <t xml:space="preserve">Enter estimated end date.
</t>
        </r>
      </text>
    </comment>
    <comment ref="E10" authorId="1" shapeId="0" xr:uid="{BD4C23D6-16EA-40DD-97CC-11E129E33815}">
      <text>
        <r>
          <rPr>
            <sz val="9"/>
            <color indexed="81"/>
            <rFont val="Tahoma"/>
            <family val="2"/>
          </rPr>
          <t xml:space="preserve">Date format. The NNF uses the format "project years". </t>
        </r>
      </text>
    </comment>
    <comment ref="E11" authorId="1" shapeId="0" xr:uid="{F1DB9B5E-26E3-44AF-AA16-B370FC64F1E2}">
      <text>
        <r>
          <rPr>
            <sz val="9"/>
            <color indexed="81"/>
            <rFont val="Tahoma"/>
            <family val="2"/>
          </rPr>
          <t xml:space="preserve">Understanding Salary Yearly Extrapolation Percentage
1. Definition:
The salary yearly extrapolation percentage is a rate used to estimate the increase in salary expenses for future years within a budget. It takes into account factors such as inflation, merit increases, and promotions.
2. Purpose:
To project future salary costs for budgeting purposes.
To ensure that the budget accounts for realistic salary growth over time.
3. Application:
Enter the current year’s salary into the budget template.
The budget template automatically applies the extrapolation percentage to project the salary for the following years. The formula used is:
Salary Year(t+1) = Salary Year(t) × (1+Extrapolation Percentage)
4. Example:
If the current year’s salary is $50,000 and the extrapolation percentage is 3%, the salary for the next year would be:
$50,000×(1+0.03)=$51,500
</t>
        </r>
        <r>
          <rPr>
            <sz val="9"/>
            <color indexed="81"/>
            <rFont val="Tahoma"/>
            <family val="2"/>
          </rPr>
          <t xml:space="preserve">
</t>
        </r>
      </text>
    </comment>
    <comment ref="F11" authorId="0" shapeId="0" xr:uid="{DB4F461F-5D2C-4976-A1B5-D1E25FB36FBB}">
      <text>
        <r>
          <rPr>
            <sz val="9"/>
            <color indexed="81"/>
            <rFont val="Tahoma"/>
            <family val="2"/>
          </rPr>
          <t xml:space="preserve">
</t>
        </r>
        <r>
          <rPr>
            <b/>
            <sz val="9"/>
            <color indexed="81"/>
            <rFont val="Tahoma"/>
            <family val="2"/>
          </rPr>
          <t>Extrapolation factor:</t>
        </r>
        <r>
          <rPr>
            <sz val="9"/>
            <color indexed="81"/>
            <rFont val="Tahoma"/>
            <family val="2"/>
          </rPr>
          <t xml:space="preserve">
If the date format is "Project years", by default the salary of the first project year will be extrapolated by the chosen percentage if half or more of the project year falls in a later year than the start date of the project year. You can overwrite this default extrapolation factor in cell F11 - a factor of 0 means no extrapolation the first project year, a factor of 1 means the salary of the first project year is extrapolated once by the chosen percentage, and a factor of 2 means the salary of the first project year is extrapolated 2 times by the chosen percentage (and so on).
If the date format is calendar years, the salary is automatically extrapolated by the chosen percentage for each year after the salary year - so if the project starts the same year as the salary is from, there is no extrapolation the first year.
</t>
        </r>
      </text>
    </comment>
    <comment ref="E12" authorId="1" shapeId="0" xr:uid="{5D0A64BE-9D9E-4674-808F-16FC4380AC45}">
      <text>
        <r>
          <rPr>
            <sz val="9"/>
            <color indexed="81"/>
            <rFont val="Tahoma"/>
            <family val="2"/>
          </rPr>
          <t>The foundation is Novo Nordisk for this template.
As the NNF is one of the private foundations which have entered the project supplement agreement with Danish universities (Carlsberg, Leo, Lundbeck, Novo Nordisk, Tryg, Velux, Villum, Spar Nord), project supplement will be automatically calculated.
For NNF calls that are</t>
        </r>
        <r>
          <rPr>
            <b/>
            <sz val="9"/>
            <color indexed="81"/>
            <rFont val="Tahoma"/>
            <family val="2"/>
          </rPr>
          <t xml:space="preserve"> not</t>
        </r>
        <r>
          <rPr>
            <sz val="9"/>
            <color indexed="81"/>
            <rFont val="Tahoma"/>
            <family val="2"/>
          </rPr>
          <t xml:space="preserve"> for research projects of less than 50 million awarded in open calls, select Novo Nordisk no proj. supl.
</t>
        </r>
      </text>
    </comment>
    <comment ref="E13" authorId="1" shapeId="0" xr:uid="{A2BE5BC7-8AD5-46E0-8B44-372FB7393375}">
      <text>
        <r>
          <rPr>
            <sz val="9"/>
            <color indexed="81"/>
            <rFont val="Tahoma"/>
            <family val="2"/>
          </rPr>
          <t xml:space="preserve">Please type in the overhead/direct administrative expenses/indirect costs percentage that applies to the current call - if any. For a few foundations the percentage is automatically filled out but this default value can be changed.
Leave the field empty if the foundation does not give overhead.
</t>
        </r>
        <r>
          <rPr>
            <sz val="9"/>
            <color indexed="10"/>
            <rFont val="Tahoma"/>
            <family val="2"/>
          </rPr>
          <t xml:space="preserve">This cell turns red as a warning if you've selected: a Danish university as institution and a foundation that provides project supplement and you have entered a percentage here. For some specific grants from the project supplement foundations it is still possible for Danish universities to apply for administrative support/indirect costs instead of project supplement if mentioned in the call/guidelines. 
</t>
        </r>
        <r>
          <rPr>
            <b/>
            <sz val="9"/>
            <color indexed="10"/>
            <rFont val="Tahoma"/>
            <family val="2"/>
          </rPr>
          <t xml:space="preserve">
</t>
        </r>
        <r>
          <rPr>
            <b/>
            <sz val="9"/>
            <color indexed="8"/>
            <rFont val="Tahoma"/>
            <family val="2"/>
          </rPr>
          <t xml:space="preserve">NNF Open calls for research project grants of less than DKK 50 million: </t>
        </r>
        <r>
          <rPr>
            <sz val="9"/>
            <color indexed="8"/>
            <rFont val="Tahoma"/>
            <family val="2"/>
          </rPr>
          <t xml:space="preserve">Administrative expenses (up to 5 % of the funding applied for) is not applicable to Danish universities. For other types of calls, refer to call text.
</t>
        </r>
      </text>
    </comment>
    <comment ref="D15" authorId="0" shapeId="0" xr:uid="{7E9F8A40-214E-4697-ACBE-9FAE79905A12}">
      <text>
        <r>
          <rPr>
            <b/>
            <sz val="9"/>
            <color indexed="81"/>
            <rFont val="Tahoma"/>
            <family val="2"/>
          </rPr>
          <t>Fill in project title.</t>
        </r>
      </text>
    </comment>
    <comment ref="C19" authorId="1" shapeId="0" xr:uid="{C780C466-F8D5-4D29-95D0-48CB411BF661}">
      <text>
        <r>
          <rPr>
            <sz val="9"/>
            <color indexed="81"/>
            <rFont val="Tahoma"/>
            <family val="2"/>
          </rPr>
          <t xml:space="preserve">Below you choose a VIP-position or a TAP-position, from the drop down menus in the cells.
The elements in the drop down menu are the most commonly used positions. If you like you can also choose "Other" and then write supplementary notes in the adjacent field (column with the header; "Notes/Name"). 
</t>
        </r>
        <r>
          <rPr>
            <b/>
            <sz val="9"/>
            <color indexed="81"/>
            <rFont val="Tahoma"/>
            <family val="2"/>
          </rPr>
          <t xml:space="preserve">
NNF NERD:
</t>
        </r>
        <r>
          <rPr>
            <sz val="9"/>
            <color indexed="81"/>
            <rFont val="Tahoma"/>
            <family val="2"/>
          </rPr>
          <t>Applicants may apply for funding for the following types of expenses directly related to the project:</t>
        </r>
        <r>
          <rPr>
            <b/>
            <sz val="9"/>
            <color indexed="81"/>
            <rFont val="Tahoma"/>
            <family val="2"/>
          </rPr>
          <t xml:space="preserve">
</t>
        </r>
        <r>
          <rPr>
            <sz val="9"/>
            <color indexed="81"/>
            <rFont val="Tahoma"/>
            <family val="2"/>
          </rPr>
          <t xml:space="preserve">
• Salary for the applicant for all or part of the project period. Salary for the applicant 
  cannot be covered if the applicant is in a time-unlimited position. 
o A NERD grant cannot be used to cover a teaching substitute for the applicant.
• Salary for employees, e.g., postdoctoral researchers, PhD students, and technicians. 
  Salary expenses cannot cover employees of similar or higher academic employment 
  level than the applicant.
</t>
        </r>
        <r>
          <rPr>
            <b/>
            <sz val="9"/>
            <color indexed="81"/>
            <rFont val="Tahoma"/>
            <family val="2"/>
          </rPr>
          <t xml:space="preserve">
NB regarding NORMA and 4+4 PhD:
</t>
        </r>
        <r>
          <rPr>
            <sz val="9"/>
            <color indexed="81"/>
            <rFont val="Tahoma"/>
            <family val="2"/>
          </rPr>
          <t>A 4+4 PhD is entitled to the same total amount of project supplement as a standard 5+3 PhD - so 3x DKK 250.000, a total of DKK 750.000 for STEM fields. In the NNF application system NORMA you can only select full project supplement (STEM or SOC/HUM) or no project supplement for each position type. In the AU budget you can therefore choose for each part of the 4+4 whether it should have project supplement or not. Make sure to distribute the years for the 4+4 in the AU budget so there is project supplement for three of the 4 years in the AU budget.</t>
        </r>
        <r>
          <rPr>
            <b/>
            <sz val="9"/>
            <color indexed="81"/>
            <rFont val="Tahoma"/>
            <family val="2"/>
          </rPr>
          <t xml:space="preserve">
</t>
        </r>
      </text>
    </comment>
    <comment ref="F19" authorId="1" shapeId="0" xr:uid="{EBBA420E-ABF2-4B4D-8540-207D83E4CEAA}">
      <text>
        <r>
          <rPr>
            <sz val="9"/>
            <color indexed="81"/>
            <rFont val="Tahoma"/>
            <family val="2"/>
          </rPr>
          <t>In this column it is possible to write supplementary notes or the name of a person.</t>
        </r>
      </text>
    </comment>
    <comment ref="G19" authorId="1" shapeId="0" xr:uid="{7C0C4099-75F6-47E2-BAE2-9A7C2D233E67}">
      <text>
        <r>
          <rPr>
            <sz val="9"/>
            <color indexed="81"/>
            <rFont val="Tahoma"/>
            <family val="2"/>
          </rPr>
          <t>This field is by default populated with 1 (= Yes) or 0 (= No) according to whether the type of position entitles to project supplement or not.
Default settings: Post.doc., Ph.d., Videnskabelig ass. and Other = Yes, the rest = No.
Feel free to overwrite the defaultvalue if needed.</t>
        </r>
      </text>
    </comment>
    <comment ref="I19" authorId="1" shapeId="0" xr:uid="{0963C463-1A60-42B5-A734-6EA69FF97F69}">
      <text>
        <r>
          <rPr>
            <sz val="9"/>
            <color indexed="81"/>
            <rFont val="Tahoma"/>
            <family val="2"/>
          </rPr>
          <t xml:space="preserve">Here you enter the monthly salary costs for the employee based on a full time (i.e. 37 hour/week) employment.
By default, the average monthly salary costs at AU for the position chosen in column C is shown. You can manually overwrite this.
For named employees where the specific salary costst are known, use these instead.
For  positions without a default average salary shown, enter your own estimate of the monthly salary costs.
</t>
        </r>
      </text>
    </comment>
    <comment ref="J19" authorId="1" shapeId="0" xr:uid="{AD11D4E0-1696-450F-B62C-1F40979BE231}">
      <text>
        <r>
          <rPr>
            <sz val="9"/>
            <color indexed="81"/>
            <rFont val="Tahoma"/>
            <family val="2"/>
          </rPr>
          <t>In Hours per week you can type in how many hours per week the person will be working. 
Default is "full time", i.e. 37 h/week.
The calculated cost (see further to the right) will be adjusted according to the contents of this field.</t>
        </r>
      </text>
    </comment>
    <comment ref="K19" authorId="0" shapeId="0" xr:uid="{DCF16404-B53D-4D42-B5EB-8D8CF11CE21E}">
      <text>
        <r>
          <rPr>
            <sz val="9"/>
            <color indexed="81"/>
            <rFont val="Tahoma"/>
            <family val="2"/>
          </rPr>
          <t xml:space="preserve">If this item counts toward purchase of departmental services ("inddækning"), choose yes. This section should be filled out in collaboration with your department as part of the budget approval.
</t>
        </r>
      </text>
    </comment>
    <comment ref="L19" authorId="1" shapeId="0" xr:uid="{2368BF6E-34AB-4B7B-8E16-0241DBDE206F}">
      <text>
        <r>
          <rPr>
            <sz val="9"/>
            <color indexed="81"/>
            <rFont val="Tahoma"/>
            <family val="2"/>
          </rPr>
          <t xml:space="preserve">Type in the number of months for each year that the person in question is employed.
Please make sure that the number of months are aligned with the period defined by the Start and End dates that can be seen above - that is, make sure the number of months entered is smaller than the number of project months in a year.
</t>
        </r>
      </text>
    </comment>
    <comment ref="M19" authorId="0" shapeId="0" xr:uid="{7E69D4E2-0C66-409E-8504-2C20275D1D42}">
      <text>
        <r>
          <rPr>
            <sz val="9"/>
            <color indexed="81"/>
            <rFont val="Tahoma"/>
            <family val="2"/>
          </rPr>
          <t>FTE stands for full-time equivalents.</t>
        </r>
      </text>
    </comment>
    <comment ref="N19" authorId="1" shapeId="0" xr:uid="{2B2C8F7D-07FC-41BF-B152-5272C3C91DBA}">
      <text>
        <r>
          <rPr>
            <sz val="9"/>
            <color indexed="81"/>
            <rFont val="Tahoma"/>
            <family val="2"/>
          </rPr>
          <t>Costs are calculated according to this formula: 
[Monthly wage]</t>
        </r>
        <r>
          <rPr>
            <i/>
            <sz val="9"/>
            <color indexed="81"/>
            <rFont val="Tahoma"/>
            <family val="2"/>
          </rPr>
          <t xml:space="preserve"> </t>
        </r>
        <r>
          <rPr>
            <sz val="9"/>
            <color indexed="81"/>
            <rFont val="Tahoma"/>
            <family val="2"/>
          </rPr>
          <t xml:space="preserve">* [Hours per week] / 37 * [Months] * [(1+Yearly extrapolation)^Year number]
</t>
        </r>
      </text>
    </comment>
    <comment ref="C37" authorId="1" shapeId="0" xr:uid="{7F69F637-7394-430A-AEAF-F30CB8B2C23D}">
      <text>
        <r>
          <rPr>
            <sz val="9"/>
            <color indexed="81"/>
            <rFont val="Tahoma"/>
            <family val="2"/>
          </rPr>
          <t>Here you can select co-financed VIP positions.</t>
        </r>
      </text>
    </comment>
    <comment ref="C73" authorId="0" shapeId="0" xr:uid="{73D5A304-AC39-416F-A46B-A52A603FEF54}">
      <text>
        <r>
          <rPr>
            <sz val="9"/>
            <color indexed="81"/>
            <rFont val="Tahoma"/>
            <family val="2"/>
          </rPr>
          <t>Here you can select co-financed TAP positions.</t>
        </r>
        <r>
          <rPr>
            <sz val="9"/>
            <color indexed="81"/>
            <rFont val="Tahoma"/>
            <family val="2"/>
          </rPr>
          <t xml:space="preserve">
</t>
        </r>
      </text>
    </comment>
    <comment ref="C94" authorId="0" shapeId="0" xr:uid="{DF7EF0B7-B9D2-4F8D-9CDD-79EFD7449614}">
      <text>
        <r>
          <rPr>
            <b/>
            <sz val="9"/>
            <color indexed="81"/>
            <rFont val="Tahoma"/>
            <family val="2"/>
          </rPr>
          <t xml:space="preserve">NNF NERD:
</t>
        </r>
        <r>
          <rPr>
            <sz val="9"/>
            <color indexed="81"/>
            <rFont val="Tahoma"/>
            <family val="2"/>
          </rPr>
          <t xml:space="preserve">Applicants may apply for funding for the following types of expenses directly related to the project:
• PhD tuition fee up to DKK 80,000 per budget year (must be included separately). 
• Operating expenses, e.g., materials, consumables, compute time, and purchase of 
services.
• Equipment required for the project. 
• Conferences.
• Travel expenses for, e.g., conferences, meetings, or experiments carried out at other 
laboratories.
• Publication costs.
• Project supplement (universities only).
• Bench fee (not applicable to universities).
• Administrative support (not applicable to universities)
</t>
        </r>
      </text>
    </comment>
    <comment ref="F94" authorId="1" shapeId="0" xr:uid="{96259659-14DC-465D-822D-2E78894ACF26}">
      <text>
        <r>
          <rPr>
            <sz val="9"/>
            <color indexed="81"/>
            <rFont val="Tahoma"/>
            <family val="2"/>
          </rPr>
          <t>In this column it is possible to write supplementary notes. If it is needed this column can be used to further specify e.g. "Operation expenses".</t>
        </r>
      </text>
    </comment>
    <comment ref="C119" authorId="0" shapeId="0" xr:uid="{E6F2333B-C140-46EC-976B-61ED7D590512}">
      <text>
        <r>
          <rPr>
            <sz val="9"/>
            <color indexed="81"/>
            <rFont val="Tahoma"/>
            <family val="2"/>
          </rPr>
          <t xml:space="preserve">Tuition fee is automatically calculated if ph.d. months are budgetted above in the VIP Salary section. This fee is found in cell F9 and can be changed manually.
Formula: Ph.d. FTE * Yearly tuition fee for the chosen faculty at AU. 
If Institution is not AU, the tuition fee manually entered in cell F9 will be used.
If call doesn't have tuition fee as an eligible cost, choose "No".
</t>
        </r>
      </text>
    </comment>
    <comment ref="C120" authorId="0" shapeId="0" xr:uid="{B1CC9059-9E38-42A9-AE39-7590E08D5EC7}">
      <text>
        <r>
          <rPr>
            <sz val="9"/>
            <color indexed="81"/>
            <rFont val="Tahoma"/>
            <family val="2"/>
          </rPr>
          <t xml:space="preserve">If bench fee is an eligible cost, select "Yes" in E120.
The departmental/institutional bench fee can be typed in manually in I120. For Natural Sciences at AU, is is automatically filled in with the correct bench fee based on department. It can be manually overwritten.
The bench fee is then calculated per year as:
(total applied for VIP FTE*12)*(max monthly bench fee allowed by the foundation)
If the foundation bench fee is more than the departmental benchfee, the actual departmental bench fee is used instead.
</t>
        </r>
        <r>
          <rPr>
            <b/>
            <sz val="9"/>
            <color indexed="81"/>
            <rFont val="Tahoma"/>
            <family val="2"/>
          </rPr>
          <t>NB: For most Danish foundation calls bench fee is not available to Danish Universities</t>
        </r>
        <r>
          <rPr>
            <sz val="9"/>
            <color indexed="81"/>
            <rFont val="Tahoma"/>
            <family val="2"/>
          </rPr>
          <t>.</t>
        </r>
      </text>
    </comment>
    <comment ref="C122" authorId="1" shapeId="0" xr:uid="{9D5AAAC8-0B65-4878-BAC9-3D766FFCA3E6}">
      <text>
        <r>
          <rPr>
            <sz val="9"/>
            <color indexed="81"/>
            <rFont val="Tahoma"/>
            <family val="2"/>
          </rPr>
          <t>Here you can select co-financed project costs for Operation - below you can select co-financed project costs for Dissemination etc.</t>
        </r>
      </text>
    </comment>
    <comment ref="C147" authorId="0" shapeId="0" xr:uid="{2D52581D-94B2-4441-A049-EB102BAFDF08}">
      <text>
        <r>
          <rPr>
            <sz val="9"/>
            <color indexed="81"/>
            <rFont val="Tahoma"/>
            <family val="2"/>
          </rPr>
          <t>Tuition fee is automatically calculated if ph.d. months are budgetted above in the Co-financed VIP Salary section. This fee is found in cell F9 and can be changed manually.
Formula: Ph.d. FTE * Yearly tuition fee for the chosen faculty at AU. 
If Institution is not AU, the tuition fee manually entered in cell F9 will be used.
If there is no co-financing of tuition fee, choose "No".</t>
        </r>
      </text>
    </comment>
    <comment ref="C148" authorId="0" shapeId="0" xr:uid="{DB3DB538-E9E7-46D4-8EFC-79E7DDB7C9E7}">
      <text>
        <r>
          <rPr>
            <sz val="9"/>
            <color indexed="81"/>
            <rFont val="Tahoma"/>
            <family val="2"/>
          </rPr>
          <t>If bench fee is selected as eligible cost in E120, Co-financed bench fee is calculated per year as:
Surplus Institutional bench fee (calculated institutional bench fee minus foundation max</t>
        </r>
        <r>
          <rPr>
            <vertAlign val="superscript"/>
            <sz val="9"/>
            <color indexed="81"/>
            <rFont val="Tahoma"/>
            <family val="2"/>
          </rPr>
          <t>1</t>
        </r>
        <r>
          <rPr>
            <sz val="9"/>
            <color indexed="81"/>
            <rFont val="Tahoma"/>
            <family val="2"/>
          </rPr>
          <t xml:space="preserve">)+co-financed bench fee (VIP FTE*12*institutional bench fee)
</t>
        </r>
        <r>
          <rPr>
            <vertAlign val="superscript"/>
            <sz val="9"/>
            <color indexed="81"/>
            <rFont val="Tahoma"/>
            <family val="2"/>
          </rPr>
          <t>1</t>
        </r>
        <r>
          <rPr>
            <sz val="9"/>
            <color indexed="81"/>
            <rFont val="Tahoma"/>
            <family val="2"/>
          </rPr>
          <t xml:space="preserve">For NNF: 8000/month/VIP-FTE)
</t>
        </r>
        <r>
          <rPr>
            <b/>
            <sz val="9"/>
            <color indexed="81"/>
            <rFont val="Tahoma"/>
            <family val="2"/>
          </rPr>
          <t xml:space="preserve">NB: For NNF open calls for research project grants of less than DKK 50 million: </t>
        </r>
        <r>
          <rPr>
            <b/>
            <u/>
            <sz val="9"/>
            <color indexed="81"/>
            <rFont val="Tahoma"/>
            <family val="2"/>
          </rPr>
          <t>not available</t>
        </r>
        <r>
          <rPr>
            <b/>
            <sz val="9"/>
            <color indexed="81"/>
            <rFont val="Tahoma"/>
            <family val="2"/>
          </rPr>
          <t xml:space="preserve"> to Danish Universities.</t>
        </r>
      </text>
    </comment>
    <comment ref="C154" authorId="0" shapeId="0" xr:uid="{1F17A45C-A81E-41B4-AB10-FD73F8A4A5F0}">
      <text>
        <r>
          <rPr>
            <sz val="9"/>
            <color indexed="81"/>
            <rFont val="Tahoma"/>
            <family val="2"/>
          </rPr>
          <t>This sums up all the costs applied for which count toward purchase of department services - as total amount and as percentage of the direct costs (salary+projects costs) of the project or total costs (direct costs+project supplement/overhead), depending on choice in cell F175
. Default is direct costs.</t>
        </r>
      </text>
    </comment>
    <comment ref="C155" authorId="1" shapeId="0" xr:uid="{36609EA7-8E0F-4F1D-8E2F-1807753B6466}">
      <text>
        <r>
          <rPr>
            <sz val="9"/>
            <color indexed="81"/>
            <rFont val="Tahoma"/>
            <family val="2"/>
          </rPr>
          <t xml:space="preserve">Project supplement is on specific salary categories and is in the template calculated automatically calculated for the foundations that have agreed to this support. The support is for 250.000 DKK for 1 FTE for STEM researchers, for mainly postdocs, PhD's and Scientific Assistants (as well as a few additional personnel categories). The calcualtion in the template adds the amount to the collected requested budget and will adjust for partial FTE. For instance half a PhD for year one will be automatically calculated to 125.000 DKK. if it is for one of the metioned foundations, making it easier to add these fixed costs.
Here it is calculated as total amount and as percentage of the direct costs (salary+projects costs) of the project or total costs (direct costs+project supplement), depending on choice in cell F178. Default is direct costs.
</t>
        </r>
      </text>
    </comment>
    <comment ref="C156" authorId="0" shapeId="0" xr:uid="{613B34A2-1FD5-484F-B37D-838EE6FA886F}">
      <text>
        <r>
          <rPr>
            <sz val="9"/>
            <color indexed="81"/>
            <rFont val="Tahoma"/>
            <family val="2"/>
          </rPr>
          <t xml:space="preserve">Administrative expenses is calculated automatically based on the percentage entered above.
It is shown as total amount and as percentage of the direct costs (salary+projects costs).
For NNF open calls for research project grants of less than DKK 50 million, administrative expenses (up to 5 % of the funding applied for) is </t>
        </r>
        <r>
          <rPr>
            <b/>
            <sz val="9"/>
            <color indexed="81"/>
            <rFont val="Tahoma"/>
            <family val="2"/>
          </rPr>
          <t>not</t>
        </r>
        <r>
          <rPr>
            <sz val="9"/>
            <color indexed="81"/>
            <rFont val="Tahoma"/>
            <family val="2"/>
          </rPr>
          <t xml:space="preserve"> applicable to Danish universities. For other types of calls, refer to call text.</t>
        </r>
      </text>
    </comment>
    <comment ref="B159" authorId="2" shapeId="0" xr:uid="{9F29BBC5-818D-4CC2-BBB7-4BD6C1A195A1}">
      <text>
        <r>
          <rPr>
            <sz val="9"/>
            <color indexed="81"/>
            <rFont val="Tahoma"/>
            <family val="2"/>
          </rPr>
          <t>This section aggregates your Deparment/Institution's contribution to the project.
Under "Total Co-financing", co-financing is shown as percentage of the total costs (applied for+co-financing) and as total amount.</t>
        </r>
      </text>
    </comment>
    <comment ref="F163" authorId="0" shapeId="0" xr:uid="{AD49839C-76AE-454C-8B2D-54B7DD7DB6ED}">
      <text>
        <r>
          <rPr>
            <sz val="9"/>
            <color indexed="81"/>
            <rFont val="Tahoma"/>
            <family val="2"/>
          </rPr>
          <t>Here you can enter co-financed overhead percentage, if relevant.
By default it is the same as the applied for administrative expenses percentage but you can always overwrite it with a different percentage.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6F1B57-8C94-48BD-8D9F-BECE006460C0}" keepAlive="1" name="Forespørgsel - Data_BudgetTemplate" description="Forbindelse til forespørgslen 'Data_BudgetTemplate' i projektmappen." type="5" refreshedVersion="8" saveData="1">
    <dbPr connection="Provider=Microsoft.Mashup.OleDb.1;Data Source=$Workbook$;Location=Data_BudgetTemplate;Extended Properties=&quot;&quot;" command="SELECT * FROM [Data_BudgetTemplate]"/>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<sst xmlns="http://schemas.openxmlformats.org/spreadsheetml/2006/main" count="689" uniqueCount="299">
  <si>
    <t>Getting started with the "NNF Budget template"</t>
  </si>
  <si>
    <t>•</t>
  </si>
  <si>
    <t>Fill in the yellow fields - see an example in the picture to the right. 
(Only the yellow fields can be edited, the rest are protected).</t>
  </si>
  <si>
    <t>Whenever you see an info-icon, like the one to the right, you can hover the mouse over the icon and read a guiding text.</t>
  </si>
  <si>
    <t>If you need to budget more than 6 project years, press the "plus sign" in the very top of the budget template - see picture to the right.
(The template by default starts with only 6 budget years visible).</t>
  </si>
  <si>
    <t>If you have filled in all of the visible budget rows in the template, more rows can be accessed by pressing the "plus sign" in the left side.</t>
  </si>
  <si>
    <t>Guide</t>
  </si>
  <si>
    <t xml:space="preserve">Remember to fill in all master data regarding the project. All projects must have a start and end date (awards can in a few cases be exempted from this). </t>
  </si>
  <si>
    <r>
      <rPr>
        <b/>
        <sz val="11"/>
        <color theme="1"/>
        <rFont val="Calibri"/>
        <family val="2"/>
        <scheme val="minor"/>
      </rPr>
      <t>For NORMA</t>
    </r>
    <r>
      <rPr>
        <sz val="11"/>
        <color theme="1"/>
        <rFont val="Calibri"/>
        <family val="2"/>
        <scheme val="minor"/>
      </rPr>
      <t xml:space="preserve"> - this tab you can use for a more to copy/paste-friendly layout of your final and approved budget when you have to enter it into the official NNF application system, Norma. Always ensure the final budget numbers you enter into NORMA are correct and correspond to the ones from the approved budget.</t>
    </r>
  </si>
  <si>
    <r>
      <rPr>
        <b/>
        <sz val="11"/>
        <color theme="1"/>
        <rFont val="Calibri"/>
        <family val="2"/>
        <scheme val="minor"/>
      </rPr>
      <t>Wage estimates for personnel:</t>
    </r>
    <r>
      <rPr>
        <sz val="11"/>
        <color theme="1"/>
        <rFont val="Calibri"/>
        <family val="2"/>
        <scheme val="minor"/>
      </rPr>
      <t xml:space="preserve"> For each employment category selected, the template will by default show the average AU salary for that position, if one is available (</t>
    </r>
    <r>
      <rPr>
        <sz val="11"/>
        <rFont val="Calibri"/>
        <family val="2"/>
        <scheme val="minor"/>
      </rPr>
      <t>see tab "AU salary costs 2025"</t>
    </r>
    <r>
      <rPr>
        <sz val="11"/>
        <color theme="1"/>
        <rFont val="Calibri"/>
        <family val="2"/>
        <scheme val="minor"/>
      </rPr>
      <t xml:space="preserve">). You can overwrite this. You should strive to use the actual salary costs where possible for named, already employed persons. </t>
    </r>
  </si>
  <si>
    <r>
      <rPr>
        <sz val="11"/>
        <rFont val="Calibri"/>
        <family val="2"/>
        <scheme val="minor"/>
      </rPr>
      <t>Link to agreement (Danish):</t>
    </r>
    <r>
      <rPr>
        <u/>
        <sz val="11"/>
        <color theme="10"/>
        <rFont val="Calibri"/>
        <family val="2"/>
        <scheme val="minor"/>
      </rPr>
      <t xml:space="preserve"> Aftale med fonde om finansiering af forskningsprojekter - Danske Universiteter</t>
    </r>
  </si>
  <si>
    <r>
      <rPr>
        <sz val="11"/>
        <rFont val="Calibri"/>
        <family val="2"/>
        <scheme val="minor"/>
      </rPr>
      <t>Link to agreement (English):</t>
    </r>
    <r>
      <rPr>
        <u/>
        <sz val="11"/>
        <color theme="10"/>
        <rFont val="Calibri"/>
        <family val="2"/>
        <scheme val="minor"/>
      </rPr>
      <t xml:space="preserve"> eng_aftaletekst_endelig_final.pdf</t>
    </r>
  </si>
  <si>
    <r>
      <rPr>
        <b/>
        <sz val="11"/>
        <color theme="1"/>
        <rFont val="Calibri"/>
        <family val="2"/>
        <scheme val="minor"/>
      </rPr>
      <t>Project overhead (OH) or Indirect costs/Administrative support</t>
    </r>
    <r>
      <rPr>
        <sz val="11"/>
        <color theme="1"/>
        <rFont val="Calibri"/>
        <family val="2"/>
        <scheme val="minor"/>
      </rPr>
      <t xml:space="preserve"> is automatically calculated in the budget template, as the product of the entered overhead percentage (if any) and the sum of all the costs. </t>
    </r>
  </si>
  <si>
    <r>
      <rPr>
        <b/>
        <sz val="11"/>
        <color theme="1"/>
        <rFont val="Calibri"/>
        <family val="2"/>
        <scheme val="minor"/>
      </rPr>
      <t>Project costs:</t>
    </r>
    <r>
      <rPr>
        <sz val="11"/>
        <color theme="1"/>
        <rFont val="Calibri"/>
        <family val="2"/>
        <scheme val="minor"/>
      </rPr>
      <t xml:space="preserve"> Can be entered  applied in the section section entitled 'Project costs'. There is attributed a general categorization of the consumables, but otherwise we advise that the notes are used to futher subcategorize the consumables in the degree that it is necessary.</t>
    </r>
  </si>
  <si>
    <r>
      <rPr>
        <b/>
        <sz val="11"/>
        <color theme="1"/>
        <rFont val="Calibri"/>
        <family val="2"/>
        <scheme val="minor"/>
      </rPr>
      <t>Purchase of departmental services (in danish: "Inddækning")</t>
    </r>
    <r>
      <rPr>
        <sz val="11"/>
        <color theme="1"/>
        <rFont val="Calibri"/>
        <family val="2"/>
        <scheme val="minor"/>
      </rPr>
      <t xml:space="preserve">
This can include hiring of technicians or use of infrastructure specifically for the project - services that are available at your department the costs of which need to be covered by the project. Ask your department which items counts towards this in your budget.</t>
    </r>
  </si>
  <si>
    <r>
      <rPr>
        <b/>
        <sz val="11"/>
        <color theme="1"/>
        <rFont val="Calibri"/>
        <family val="2"/>
        <scheme val="minor"/>
      </rPr>
      <t>Co-financing</t>
    </r>
    <r>
      <rPr>
        <sz val="11"/>
        <color theme="1"/>
        <rFont val="Calibri"/>
        <family val="2"/>
        <scheme val="minor"/>
      </rPr>
      <t xml:space="preserve"> is where the University (your department) is funding costs directly related to the project. Ask your department regarding this category. All co-financing has to be cleared by your department before applying.</t>
    </r>
  </si>
  <si>
    <t>FAQ</t>
  </si>
  <si>
    <t>Frequently asked question</t>
  </si>
  <si>
    <t>Answer</t>
  </si>
  <si>
    <t>Will be filled out continuously</t>
  </si>
  <si>
    <t>Extrapolation factor (default):</t>
  </si>
  <si>
    <t>Dates Project years</t>
  </si>
  <si>
    <t>Salary year:</t>
  </si>
  <si>
    <t>Dates Calendar years</t>
  </si>
  <si>
    <t>Year number</t>
  </si>
  <si>
    <t>NNF NERD template</t>
  </si>
  <si>
    <t>Institution</t>
  </si>
  <si>
    <t>AU</t>
  </si>
  <si>
    <t>Link to call:</t>
  </si>
  <si>
    <t>New Exploratory Research and Discovery (NERD) Programme 2026 - Novo Nordisk Fonden</t>
  </si>
  <si>
    <t>Natural Sciences</t>
  </si>
  <si>
    <t xml:space="preserve">Project supplement: </t>
  </si>
  <si>
    <t>Department</t>
  </si>
  <si>
    <t>Project start date</t>
  </si>
  <si>
    <t>Tuition fee/year/PhD:</t>
  </si>
  <si>
    <t>Tuition fee:</t>
  </si>
  <si>
    <r>
      <t>Earliest start:</t>
    </r>
    <r>
      <rPr>
        <sz val="11"/>
        <color theme="1"/>
        <rFont val="Calibri"/>
        <family val="2"/>
        <scheme val="minor"/>
      </rPr>
      <t xml:space="preserve"> 1 August 2026</t>
    </r>
  </si>
  <si>
    <t>Project end date</t>
  </si>
  <si>
    <r>
      <t>Latest start:</t>
    </r>
    <r>
      <rPr>
        <sz val="11"/>
        <color theme="1"/>
        <rFont val="Calibri"/>
        <family val="2"/>
        <scheme val="minor"/>
      </rPr>
      <t xml:space="preserve"> 1 February 2027</t>
    </r>
  </si>
  <si>
    <t>Date format</t>
  </si>
  <si>
    <t>Project years</t>
  </si>
  <si>
    <t>Bench fee</t>
  </si>
  <si>
    <t>Salary yearly extrapolation</t>
  </si>
  <si>
    <t>Extrapolation 1st year:</t>
  </si>
  <si>
    <t>Amount:</t>
  </si>
  <si>
    <t xml:space="preserve"> Up to DKK 16 million</t>
  </si>
  <si>
    <t>Foundation</t>
  </si>
  <si>
    <t>Novo Nordisk</t>
  </si>
  <si>
    <t>Duration:</t>
  </si>
  <si>
    <t>6 years (min. 5)</t>
  </si>
  <si>
    <t>skjul</t>
  </si>
  <si>
    <t>Project title:</t>
  </si>
  <si>
    <t>TOTAL</t>
  </si>
  <si>
    <t>FTE hours</t>
  </si>
  <si>
    <t>Start</t>
  </si>
  <si>
    <t>End</t>
  </si>
  <si>
    <t>Salary</t>
  </si>
  <si>
    <t>Project months/year:</t>
  </si>
  <si>
    <t>1. VIP</t>
  </si>
  <si>
    <t>Notes/Name</t>
  </si>
  <si>
    <t>Project supplement?</t>
  </si>
  <si>
    <t>Fraction</t>
  </si>
  <si>
    <t>Salary/mo 2025</t>
  </si>
  <si>
    <t>Hrs/wk</t>
  </si>
  <si>
    <t>Dept.Serv.</t>
  </si>
  <si>
    <t>Months</t>
  </si>
  <si>
    <t>FTE</t>
  </si>
  <si>
    <t>Costs</t>
  </si>
  <si>
    <t>VIP hours</t>
  </si>
  <si>
    <t xml:space="preserve"> - </t>
  </si>
  <si>
    <t>A</t>
  </si>
  <si>
    <t>Subtotal</t>
  </si>
  <si>
    <t>1. VIP Co-financing</t>
  </si>
  <si>
    <t>Co-financed VIP hours</t>
  </si>
  <si>
    <t>Sum of VIP co-financing</t>
  </si>
  <si>
    <t>1. TAP</t>
  </si>
  <si>
    <t>TAP hours</t>
  </si>
  <si>
    <t>B</t>
  </si>
  <si>
    <t xml:space="preserve">  1. TAP Co-financing</t>
  </si>
  <si>
    <t>Co-financed TAP hours</t>
  </si>
  <si>
    <t>Sum of TAP co-financing</t>
  </si>
  <si>
    <t>Total salary co-financing</t>
  </si>
  <si>
    <t>Total salary (A + B)</t>
  </si>
  <si>
    <t>Project costs</t>
  </si>
  <si>
    <t>2. Operation</t>
  </si>
  <si>
    <t>Notes</t>
  </si>
  <si>
    <t>Dept. Serv.</t>
  </si>
  <si>
    <t xml:space="preserve"> -</t>
  </si>
  <si>
    <t>3. Dissemination, training, education</t>
  </si>
  <si>
    <t>Tuition fee</t>
  </si>
  <si>
    <t xml:space="preserve">  Eligible cost?</t>
  </si>
  <si>
    <t>Yes</t>
  </si>
  <si>
    <t>Eligible cost?</t>
  </si>
  <si>
    <t>No</t>
  </si>
  <si>
    <t>Inst bench fee/VIP/mo:</t>
  </si>
  <si>
    <t>C</t>
  </si>
  <si>
    <t>2. Operation co-financing</t>
  </si>
  <si>
    <t>3. Dissemination, training, education co-financing</t>
  </si>
  <si>
    <t xml:space="preserve">Tuition fee </t>
  </si>
  <si>
    <t>Co-financed?</t>
  </si>
  <si>
    <t>Total project costs co-financing</t>
  </si>
  <si>
    <t>Total Project costs (C)</t>
  </si>
  <si>
    <t>Applied for from the foundation</t>
  </si>
  <si>
    <t>Direct costs (salary + project costs)</t>
  </si>
  <si>
    <t>Of which is purchase of department services (inddækning)</t>
  </si>
  <si>
    <t xml:space="preserve">Project supplement </t>
  </si>
  <si>
    <t>Total applied for from the foundation</t>
  </si>
  <si>
    <t>Co-financing</t>
  </si>
  <si>
    <t>VIP co-financing</t>
  </si>
  <si>
    <t>TAP co-financing</t>
  </si>
  <si>
    <t>Project costs co-financing</t>
  </si>
  <si>
    <t>Total co-financing</t>
  </si>
  <si>
    <t>Total costs (Applied for+co-financing)</t>
  </si>
  <si>
    <t>For the administration</t>
  </si>
  <si>
    <t>Add amount to purchase of departmental services:</t>
  </si>
  <si>
    <t xml:space="preserve">Subtract equipment from total when calculating purchase of departmental services? </t>
  </si>
  <si>
    <t>-</t>
  </si>
  <si>
    <t>Calculate purchase of departmental services percentage out of subtotal (direct costs, i.e. salary costs+project costs) or total (direct costs+proj. suppl.):</t>
  </si>
  <si>
    <t>Calculate project supplement percentage out of subtotal (direct costs, i.e. salary costs+project costs) or total (direct costs+proj. suppl.):</t>
  </si>
  <si>
    <t>Foundation bench fee max/mo. If NNF: will automatically be 8000/month
For other relevant foundations, type in the monthly max for bench fee:</t>
  </si>
  <si>
    <t>Total</t>
  </si>
  <si>
    <t>Notes:</t>
  </si>
  <si>
    <t>Purchase of departmental services</t>
  </si>
  <si>
    <t>1.</t>
  </si>
  <si>
    <t>Notes/name</t>
  </si>
  <si>
    <t>Budget</t>
  </si>
  <si>
    <t>VIP</t>
  </si>
  <si>
    <t>TAP</t>
  </si>
  <si>
    <t>2.</t>
  </si>
  <si>
    <t>Operation</t>
  </si>
  <si>
    <t>3.</t>
  </si>
  <si>
    <t>Dissemination, training, education</t>
  </si>
  <si>
    <t>Project supplement</t>
  </si>
  <si>
    <t>4.</t>
  </si>
  <si>
    <t xml:space="preserve">Administration </t>
  </si>
  <si>
    <t>Direct administrative expenses</t>
  </si>
  <si>
    <t>Received from the administering institution</t>
  </si>
  <si>
    <t>Source:</t>
  </si>
  <si>
    <t>2025_-_Takstkatalog_baseret_paa_ressourcekostpriser.pdf</t>
  </si>
  <si>
    <t>and:</t>
  </si>
  <si>
    <t>Loensatser_pr._01.11.2025.pdf</t>
  </si>
  <si>
    <t>Average monthly (37 hr/week) salary cost prices 2025</t>
  </si>
  <si>
    <t>Converted to employment of</t>
  </si>
  <si>
    <t>hours per week</t>
  </si>
  <si>
    <t>Position</t>
  </si>
  <si>
    <t>Low</t>
  </si>
  <si>
    <t>Mean</t>
  </si>
  <si>
    <t>High</t>
  </si>
  <si>
    <t>Stillingstype</t>
  </si>
  <si>
    <t>VIP employed</t>
  </si>
  <si>
    <t>Professor</t>
  </si>
  <si>
    <t>Professor (MSO)</t>
  </si>
  <si>
    <t>Associate Professor</t>
  </si>
  <si>
    <t>Senior Researcher</t>
  </si>
  <si>
    <t>Assistant Professor</t>
  </si>
  <si>
    <t>Postdoc</t>
  </si>
  <si>
    <t>Research Assistant</t>
  </si>
  <si>
    <t>PhD Student</t>
  </si>
  <si>
    <t>PhD Student 4+4 Part A</t>
  </si>
  <si>
    <t>PhD Student 4+4 Part B</t>
  </si>
  <si>
    <t>TAP employed</t>
  </si>
  <si>
    <t>Special Consultant</t>
  </si>
  <si>
    <t>AC-Administrative officer</t>
  </si>
  <si>
    <t>AC-fuldmægtig</t>
  </si>
  <si>
    <t>Office staff et al.</t>
  </si>
  <si>
    <t>Kontor m.fl.</t>
  </si>
  <si>
    <t>AC staff et al.</t>
  </si>
  <si>
    <t>AC-personale m.fl.</t>
  </si>
  <si>
    <t>Technician</t>
  </si>
  <si>
    <t>Lab. technician</t>
  </si>
  <si>
    <t>Lab. Technician</t>
  </si>
  <si>
    <t>IT staff</t>
  </si>
  <si>
    <t>IT Assistant</t>
  </si>
  <si>
    <t>Student Programmer</t>
  </si>
  <si>
    <t>PROSA</t>
  </si>
  <si>
    <t>Student Assistant</t>
  </si>
  <si>
    <t>Other with project supplement (VIP Group C)</t>
  </si>
  <si>
    <t>Type in salary</t>
  </si>
  <si>
    <t>Other without project supplement</t>
  </si>
  <si>
    <t>Project employed group leader (project supplement)</t>
  </si>
  <si>
    <t>Other</t>
  </si>
  <si>
    <t>PhD Student 4+4 Part A project supplement</t>
  </si>
  <si>
    <t>PhD Student 4+4 Part A no project supplement</t>
  </si>
  <si>
    <t>PhD Student 4+4 Part B project supplement</t>
  </si>
  <si>
    <t>PhD Student 4+4 Part B no project supplement</t>
  </si>
  <si>
    <t>Faculty</t>
  </si>
  <si>
    <t>Wet/dry  dependencies</t>
  </si>
  <si>
    <t>Yes/No</t>
  </si>
  <si>
    <t>Staff category (VIP)</t>
  </si>
  <si>
    <t>Project costs (B)</t>
  </si>
  <si>
    <t>P/L</t>
  </si>
  <si>
    <t>Kategorisering af budgetpost</t>
  </si>
  <si>
    <t>Foundation - drop down</t>
  </si>
  <si>
    <t>OH (%)</t>
  </si>
  <si>
    <t>OH term</t>
  </si>
  <si>
    <t>FTE Hours</t>
  </si>
  <si>
    <t>CBS</t>
  </si>
  <si>
    <t>Wet'/'Dry'</t>
  </si>
  <si>
    <t>Project supplement ('wet'/'dry')</t>
  </si>
  <si>
    <t>DFF tuition fee</t>
  </si>
  <si>
    <t>Applicable for project supplement? (0 = No, 1 = Yes)</t>
  </si>
  <si>
    <t>Carlsberg</t>
  </si>
  <si>
    <t>Indirect costs</t>
  </si>
  <si>
    <t>ITU</t>
  </si>
  <si>
    <t>Wet</t>
  </si>
  <si>
    <t>Equipment</t>
  </si>
  <si>
    <t>Foundation AND "inddækning"</t>
  </si>
  <si>
    <t>Leo</t>
  </si>
  <si>
    <t>RUC</t>
  </si>
  <si>
    <t>Technical Sciences</t>
  </si>
  <si>
    <t>Dry</t>
  </si>
  <si>
    <t>Consumables</t>
  </si>
  <si>
    <t>Lundbeck</t>
  </si>
  <si>
    <t>DTU</t>
  </si>
  <si>
    <t>Health</t>
  </si>
  <si>
    <t>Travel expenses</t>
  </si>
  <si>
    <t>Administrative expenses</t>
  </si>
  <si>
    <t>UCPH</t>
  </si>
  <si>
    <t>Arts</t>
  </si>
  <si>
    <t>Research stays</t>
  </si>
  <si>
    <t>Novo Nordisk no proj. suppl.</t>
  </si>
  <si>
    <t>SDU</t>
  </si>
  <si>
    <t>BSS</t>
  </si>
  <si>
    <t>Conference participation</t>
  </si>
  <si>
    <t>Tryg</t>
  </si>
  <si>
    <t>AAU</t>
  </si>
  <si>
    <t>Scientific Area</t>
  </si>
  <si>
    <t>Dissemination</t>
  </si>
  <si>
    <t>Velux</t>
  </si>
  <si>
    <t>Arranging conferences/seminars/workshops</t>
  </si>
  <si>
    <t>Villum</t>
  </si>
  <si>
    <t>Other (write name here)</t>
  </si>
  <si>
    <t>Publication</t>
  </si>
  <si>
    <t>DFF</t>
  </si>
  <si>
    <t>Overhead percentage</t>
  </si>
  <si>
    <t>Data management</t>
  </si>
  <si>
    <t>IFD</t>
  </si>
  <si>
    <t>Fee for service (core facility)</t>
  </si>
  <si>
    <t>DG</t>
  </si>
  <si>
    <t>Humanities</t>
  </si>
  <si>
    <t>Spar Nord</t>
  </si>
  <si>
    <t>Social Sciences</t>
  </si>
  <si>
    <t>Theology</t>
  </si>
  <si>
    <t>NNF</t>
  </si>
  <si>
    <t>Other w/ proj. suppl.</t>
  </si>
  <si>
    <t>Law</t>
  </si>
  <si>
    <t>Project Supplement foundations</t>
  </si>
  <si>
    <t>Staff category (TAP)</t>
  </si>
  <si>
    <t>BIO</t>
  </si>
  <si>
    <t>AGRO</t>
  </si>
  <si>
    <t>Biomedicine</t>
  </si>
  <si>
    <t>Communication and Culture</t>
  </si>
  <si>
    <t>Business Development and Technology</t>
  </si>
  <si>
    <t>Operating expenses</t>
  </si>
  <si>
    <t>CHEM</t>
  </si>
  <si>
    <t>ANIVET</t>
  </si>
  <si>
    <t>Clinical Medicine</t>
  </si>
  <si>
    <t>Culture and Society</t>
  </si>
  <si>
    <t>Economics and Business Economics</t>
  </si>
  <si>
    <t>CS</t>
  </si>
  <si>
    <t>BCE</t>
  </si>
  <si>
    <t>Dentistry and Oral Health</t>
  </si>
  <si>
    <t>Danish School of Education</t>
  </si>
  <si>
    <t>GEO</t>
  </si>
  <si>
    <t>CAE</t>
  </si>
  <si>
    <t>Forensic Medicine</t>
  </si>
  <si>
    <t>Management</t>
  </si>
  <si>
    <t>iNANO</t>
  </si>
  <si>
    <t>DCA</t>
  </si>
  <si>
    <t>Public Health</t>
  </si>
  <si>
    <t>Political Science</t>
  </si>
  <si>
    <t>MATH</t>
  </si>
  <si>
    <t>DCE</t>
  </si>
  <si>
    <t>Psychology and Behavioural Sciences</t>
  </si>
  <si>
    <t>Publication costs</t>
  </si>
  <si>
    <t>MBG</t>
  </si>
  <si>
    <t>ECE</t>
  </si>
  <si>
    <t>Travel</t>
  </si>
  <si>
    <t>PHYS</t>
  </si>
  <si>
    <t>ECOS</t>
  </si>
  <si>
    <t>ENVS</t>
  </si>
  <si>
    <t>FOOD</t>
  </si>
  <si>
    <t>ICROFS</t>
  </si>
  <si>
    <t>MPE</t>
  </si>
  <si>
    <t>QGG</t>
  </si>
  <si>
    <t>Co-financing staff category (VIP)</t>
  </si>
  <si>
    <t>Natural Sciences AU</t>
  </si>
  <si>
    <t>Wet/Dry</t>
  </si>
  <si>
    <t xml:space="preserve">Bench fee Nat </t>
  </si>
  <si>
    <r>
      <rPr>
        <sz val="11"/>
        <color theme="1"/>
        <rFont val="Calibri"/>
        <family val="2"/>
        <scheme val="minor"/>
      </rPr>
      <t>Link to Danish guide to project supplement (Ver 3):</t>
    </r>
    <r>
      <rPr>
        <u/>
        <sz val="11"/>
        <color theme="10"/>
        <rFont val="Calibri"/>
        <family val="2"/>
        <scheme val="minor"/>
      </rPr>
      <t xml:space="preserve"> https://dkuni.dk/wp-content/uploads/2025/12/vejledning-projekttillaeg-version-3.pdf</t>
    </r>
  </si>
  <si>
    <r>
      <rPr>
        <sz val="11"/>
        <color theme="1"/>
        <rFont val="Calibri"/>
        <family val="2"/>
        <scheme val="minor"/>
      </rPr>
      <t xml:space="preserve">Link to English guide to project supplement (Ver 3): </t>
    </r>
    <r>
      <rPr>
        <u/>
        <sz val="11"/>
        <color theme="10"/>
        <rFont val="Calibri"/>
        <family val="2"/>
        <scheme val="minor"/>
      </rPr>
      <t>https://dkuni.dk/wp-content/uploads/2025/12/guidelines-for-project-supplement_final_version-3.pdf</t>
    </r>
  </si>
  <si>
    <t>Template version: 08-01-2026</t>
  </si>
  <si>
    <r>
      <rPr>
        <b/>
        <sz val="11"/>
        <color theme="1"/>
        <rFont val="Calibri"/>
        <family val="2"/>
        <scheme val="minor"/>
      </rPr>
      <t>Project supplement:</t>
    </r>
    <r>
      <rPr>
        <sz val="11"/>
        <color theme="1"/>
        <rFont val="Calibri"/>
        <family val="2"/>
        <scheme val="minor"/>
      </rPr>
      <t xml:space="preserve"> After intensive work between private Danish foundations (Lundbeck, Novo, Leo, Velux, Villum and Carlsberg) and the collected Universities in Denmark, there has been an agreement regarding bigger contributions to the Universities' costs of having an external contribution. These project supplements are given based on specific personnel categories and are in the template calculated automatically for the foundations that have agreed to this support. The support for STEM fields is 250.000 DKK per 12 months, full time employed (FTE) postdoc, PhD or Scientific Assistant. It does involve a few additional personnel categories - the so called VIP group C - which can be selected as well. The calculation in the template adds the amount to the collected requested budget and will adjust for partial FTE. For instance, half a PhD for year one will be automatically calculated to 125.000 DKK if it is for one of the metioned foundations, making it easier to add these fixed costs to your budget. See the official guidelines for further explanation of project supplement.</t>
    </r>
  </si>
  <si>
    <t>High-performance computers</t>
  </si>
  <si>
    <t>Manually adjust department compensation for PhD students</t>
  </si>
  <si>
    <t>MBG's share</t>
  </si>
  <si>
    <t>PhD research stay abroad</t>
  </si>
  <si>
    <t>Data storage</t>
  </si>
  <si>
    <t>Cluster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</si>
</sst>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 &quot;kr.&quot;"/>
    <numFmt numFmtId="165" formatCode="_ * #,##0_ ;_ * \-#,##0_ ;_ * &quot;-&quot;??_ ;_ @_ "/>
    <numFmt numFmtId="166" formatCode="#,##0;\-#,##0;&quot;&quot;;"/>
    <numFmt numFmtId="167" formatCode="yyyy"/>
    <numFmt numFmtId="168" formatCode="0.0"/>
  </numFmts>
  <fonts count="39" x14ac:knownFonts="1">
    <font>
      <sz val="11"/>
      <color theme="1"/>
      <name val="Calibri"/>
      <family val="2"/>
      <scheme val="minor"/>
    </font>
    <font>
      <b/>
      <sz val="11"/>
      <color theme="1"/>
      <name val="Calibri"/>
      <family val="2"/>
      <scheme val="minor"/>
    </font>
    <font>
      <sz val="8"/>
      <name val="Calibri"/>
      <family val="2"/>
      <scheme val="minor"/>
    </font>
    <font>
      <sz val="8"/>
      <color theme="1"/>
      <name val="Calibri"/>
      <family val="2"/>
      <scheme val="minor"/>
    </font>
    <font>
      <b/>
      <sz val="16"/>
      <color theme="1"/>
      <name val="Calibri"/>
      <family val="2"/>
      <scheme val="minor"/>
    </font>
    <font>
      <b/>
      <sz val="14"/>
      <color theme="1"/>
      <name val="Calibri"/>
      <family val="2"/>
      <scheme val="minor"/>
    </font>
    <font>
      <b/>
      <sz val="36"/>
      <color theme="1"/>
      <name val="Calibri"/>
      <family val="2"/>
      <scheme val="minor"/>
    </font>
    <font>
      <sz val="11"/>
      <name val="Calibri"/>
      <family val="2"/>
      <scheme val="minor"/>
    </font>
    <font>
      <sz val="11"/>
      <color theme="1"/>
      <name val="Calibri"/>
      <family val="2"/>
      <scheme val="minor"/>
    </font>
    <font>
      <u/>
      <sz val="11"/>
      <color theme="1"/>
      <name val="Calibri"/>
      <family val="2"/>
      <scheme val="minor"/>
    </font>
    <font>
      <u/>
      <sz val="11"/>
      <name val="Calibri"/>
      <family val="2"/>
      <scheme val="minor"/>
    </font>
    <font>
      <sz val="11"/>
      <color rgb="FF3F3F76"/>
      <name val="Calibri"/>
      <family val="2"/>
    </font>
    <font>
      <sz val="9"/>
      <color indexed="81"/>
      <name val="Tahoma"/>
      <family val="2"/>
    </font>
    <font>
      <b/>
      <i/>
      <sz val="16"/>
      <color theme="1"/>
      <name val="Calibri"/>
      <family val="2"/>
      <scheme val="minor"/>
    </font>
    <font>
      <i/>
      <sz val="11"/>
      <color theme="1"/>
      <name val="Calibri"/>
      <family val="2"/>
      <scheme val="minor"/>
    </font>
    <font>
      <b/>
      <i/>
      <sz val="11"/>
      <color theme="1"/>
      <name val="Calibri"/>
      <family val="2"/>
      <scheme val="minor"/>
    </font>
    <font>
      <b/>
      <sz val="14"/>
      <color rgb="FF3F3F76"/>
      <name val="Calibri"/>
      <family val="2"/>
    </font>
    <font>
      <sz val="10"/>
      <color theme="1"/>
      <name val="Calibri"/>
      <family val="2"/>
      <scheme val="minor"/>
    </font>
    <font>
      <sz val="36"/>
      <color theme="1"/>
      <name val="Calibri"/>
      <family val="2"/>
      <scheme val="minor"/>
    </font>
    <font>
      <u/>
      <sz val="11"/>
      <color theme="10"/>
      <name val="Calibri"/>
      <family val="2"/>
      <scheme val="minor"/>
    </font>
    <font>
      <b/>
      <sz val="12"/>
      <color theme="1"/>
      <name val="Calibri"/>
      <family val="2"/>
      <scheme val="minor"/>
    </font>
    <font>
      <sz val="14"/>
      <color theme="1"/>
      <name val="Calibri"/>
      <family val="2"/>
      <scheme val="minor"/>
    </font>
    <font>
      <i/>
      <sz val="8"/>
      <color theme="1"/>
      <name val="Calibri"/>
      <family val="2"/>
      <scheme val="minor"/>
    </font>
    <font>
      <b/>
      <sz val="9"/>
      <color indexed="81"/>
      <name val="Tahoma"/>
      <family val="2"/>
    </font>
    <font>
      <sz val="9"/>
      <color theme="1"/>
      <name val="Calibri"/>
      <family val="2"/>
      <scheme val="minor"/>
    </font>
    <font>
      <b/>
      <u/>
      <sz val="11"/>
      <color theme="1"/>
      <name val="Calibri"/>
      <family val="2"/>
      <scheme val="minor"/>
    </font>
    <font>
      <sz val="9"/>
      <color indexed="10"/>
      <name val="Tahoma"/>
      <family val="2"/>
    </font>
    <font>
      <b/>
      <sz val="11"/>
      <name val="Calibri"/>
      <family val="2"/>
      <scheme val="minor"/>
    </font>
    <font>
      <sz val="11"/>
      <color rgb="FFFF0000"/>
      <name val="Calibri"/>
      <family val="2"/>
      <scheme val="minor"/>
    </font>
    <font>
      <i/>
      <sz val="10"/>
      <color theme="1"/>
      <name val="Calibri"/>
      <family val="2"/>
      <scheme val="minor"/>
    </font>
    <font>
      <i/>
      <sz val="9"/>
      <color indexed="81"/>
      <name val="Tahoma"/>
      <family val="2"/>
    </font>
    <font>
      <sz val="9.9"/>
      <color rgb="FF333D42"/>
      <name val="Consolas"/>
      <family val="3"/>
    </font>
    <font>
      <b/>
      <u/>
      <sz val="9"/>
      <color indexed="81"/>
      <name val="Tahoma"/>
      <family val="2"/>
    </font>
    <font>
      <sz val="11"/>
      <color theme="3" tint="0.79998168889431442"/>
      <name val="Calibri"/>
      <family val="2"/>
      <scheme val="minor"/>
    </font>
    <font>
      <vertAlign val="superscript"/>
      <sz val="9"/>
      <color indexed="81"/>
      <name val="Tahoma"/>
      <family val="2"/>
    </font>
    <font>
      <sz val="9"/>
      <color indexed="8"/>
      <name val="Tahoma"/>
      <family val="2"/>
    </font>
    <font>
      <b/>
      <sz val="9"/>
      <color indexed="10"/>
      <name val="Tahoma"/>
      <family val="2"/>
    </font>
    <font>
      <b/>
      <sz val="9"/>
      <color indexed="8"/>
      <name val="Tahoma"/>
      <family val="2"/>
    </font>
    <font>
      <sz val="9"/>
      <color rgb="FF00000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
      <patternFill patternType="solid">
        <fgColor rgb="FFFFCC99"/>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0" tint="-0.14999847407452621"/>
        <bgColor indexed="64"/>
      </patternFill>
    </fill>
  </fills>
  <borders count="9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double">
        <color indexed="64"/>
      </bottom>
      <diagonal/>
    </border>
    <border>
      <left/>
      <right/>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thin">
        <color indexed="64"/>
      </top>
      <bottom style="double">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rgb="FFE4E4E4"/>
      </left>
      <right style="medium">
        <color rgb="FFE4E4E4"/>
      </right>
      <top style="medium">
        <color rgb="FFE4E4E4"/>
      </top>
      <bottom style="medium">
        <color rgb="FFE4E4E4"/>
      </bottom>
      <diagonal/>
    </border>
    <border>
      <left style="medium">
        <color indexed="64"/>
      </left>
      <right style="thin">
        <color indexed="64"/>
      </right>
      <top/>
      <bottom style="medium">
        <color indexed="64"/>
      </bottom>
      <diagonal/>
    </border>
    <border>
      <left style="thin">
        <color indexed="64"/>
      </left>
      <right style="dotted">
        <color indexed="64"/>
      </right>
      <top/>
      <bottom/>
      <diagonal/>
    </border>
    <border>
      <left/>
      <right style="thin">
        <color indexed="64"/>
      </right>
      <top/>
      <bottom style="double">
        <color indexed="64"/>
      </bottom>
      <diagonal/>
    </border>
    <border>
      <left style="medium">
        <color indexed="64"/>
      </left>
      <right/>
      <top style="medium">
        <color rgb="FF000000"/>
      </top>
      <bottom style="double">
        <color indexed="64"/>
      </bottom>
      <diagonal/>
    </border>
    <border>
      <left/>
      <right style="medium">
        <color indexed="64"/>
      </right>
      <top style="medium">
        <color rgb="FF000000"/>
      </top>
      <bottom style="double">
        <color indexed="64"/>
      </bottom>
      <diagonal/>
    </border>
    <border>
      <left/>
      <right/>
      <top style="medium">
        <color rgb="FF000000"/>
      </top>
      <bottom style="double">
        <color indexed="64"/>
      </bottom>
      <diagonal/>
    </border>
    <border>
      <left style="medium">
        <color indexed="64"/>
      </left>
      <right style="medium">
        <color indexed="64"/>
      </right>
      <top style="medium">
        <color rgb="FF000000"/>
      </top>
      <bottom style="double">
        <color indexed="64"/>
      </bottom>
      <diagonal/>
    </border>
    <border>
      <left style="medium">
        <color indexed="64"/>
      </left>
      <right style="thin">
        <color indexed="64"/>
      </right>
      <top style="thin">
        <color indexed="64"/>
      </top>
      <bottom/>
      <diagonal/>
    </border>
  </borders>
  <cellStyleXfs count="6">
    <xf numFmtId="0" fontId="0" fillId="0" borderId="0"/>
    <xf numFmtId="0" fontId="1" fillId="0" borderId="0" applyNumberFormat="0" applyFill="0" applyBorder="0" applyAlignment="0" applyProtection="0"/>
    <xf numFmtId="43" fontId="8" fillId="0" borderId="0" applyFont="0" applyFill="0" applyBorder="0" applyAlignment="0" applyProtection="0"/>
    <xf numFmtId="0" fontId="11" fillId="8" borderId="41" applyNumberFormat="0" applyAlignment="0" applyProtection="0"/>
    <xf numFmtId="9" fontId="8" fillId="0" borderId="0" applyFont="0" applyFill="0" applyBorder="0" applyAlignment="0" applyProtection="0"/>
    <xf numFmtId="0" fontId="19" fillId="0" borderId="0" applyNumberFormat="0" applyFill="0" applyBorder="0" applyAlignment="0" applyProtection="0"/>
  </cellStyleXfs>
  <cellXfs count="784">
    <xf numFmtId="0" fontId="0" fillId="0" borderId="0" xfId="0"/>
    <xf numFmtId="0" fontId="17" fillId="2" borderId="26" xfId="0" applyFont="1" applyFill="1" applyBorder="1" applyAlignment="1">
      <alignment horizontal="left" wrapText="1"/>
    </xf>
    <xf numFmtId="0" fontId="0" fillId="0" borderId="0" xfId="0" applyAlignment="1">
      <alignment horizontal="left" vertical="top" wrapText="1"/>
    </xf>
    <xf numFmtId="0" fontId="1" fillId="0" borderId="0" xfId="0" applyFont="1"/>
    <xf numFmtId="9" fontId="0" fillId="0" borderId="0" xfId="0" quotePrefix="1" applyNumberFormat="1"/>
    <xf numFmtId="0" fontId="0" fillId="0" borderId="1" xfId="0" applyBorder="1"/>
    <xf numFmtId="0" fontId="0" fillId="0" borderId="8" xfId="0" applyBorder="1"/>
    <xf numFmtId="0" fontId="0" fillId="0" borderId="3" xfId="0" applyBorder="1"/>
    <xf numFmtId="164" fontId="0" fillId="0" borderId="0" xfId="0" applyNumberFormat="1"/>
    <xf numFmtId="164" fontId="0" fillId="0" borderId="9" xfId="0" applyNumberFormat="1" applyBorder="1"/>
    <xf numFmtId="0" fontId="0" fillId="0" borderId="4" xfId="0" applyBorder="1"/>
    <xf numFmtId="0" fontId="0" fillId="0" borderId="5" xfId="0" quotePrefix="1" applyBorder="1"/>
    <xf numFmtId="164" fontId="0" fillId="0" borderId="5" xfId="0" applyNumberFormat="1" applyBorder="1"/>
    <xf numFmtId="164" fontId="0" fillId="0" borderId="10" xfId="0" applyNumberFormat="1" applyBorder="1"/>
    <xf numFmtId="0" fontId="1" fillId="6" borderId="34" xfId="0" applyFont="1" applyFill="1" applyBorder="1"/>
    <xf numFmtId="0" fontId="1" fillId="6" borderId="35" xfId="0" applyFont="1" applyFill="1" applyBorder="1"/>
    <xf numFmtId="0" fontId="1" fillId="6" borderId="36" xfId="0" applyFont="1" applyFill="1" applyBorder="1" applyAlignment="1">
      <alignment horizontal="center"/>
    </xf>
    <xf numFmtId="0" fontId="1" fillId="6" borderId="34" xfId="0" applyFont="1" applyFill="1" applyBorder="1" applyAlignment="1">
      <alignment horizontal="center"/>
    </xf>
    <xf numFmtId="0" fontId="0" fillId="3" borderId="37" xfId="0" applyFill="1" applyBorder="1"/>
    <xf numFmtId="0" fontId="1" fillId="3" borderId="38" xfId="0" applyFont="1" applyFill="1" applyBorder="1"/>
    <xf numFmtId="0" fontId="0" fillId="3" borderId="39" xfId="0" applyFill="1" applyBorder="1"/>
    <xf numFmtId="0" fontId="0" fillId="7" borderId="14" xfId="0" applyFill="1" applyBorder="1" applyAlignment="1">
      <alignment horizontal="center"/>
    </xf>
    <xf numFmtId="0" fontId="0" fillId="7" borderId="0" xfId="0" applyFill="1"/>
    <xf numFmtId="0" fontId="0" fillId="7" borderId="40" xfId="0" applyFill="1" applyBorder="1" applyAlignment="1">
      <alignment horizontal="center"/>
    </xf>
    <xf numFmtId="0" fontId="9" fillId="3" borderId="25" xfId="0" applyFont="1" applyFill="1" applyBorder="1" applyAlignment="1">
      <alignment horizontal="center"/>
    </xf>
    <xf numFmtId="0" fontId="1" fillId="3" borderId="26" xfId="0" applyFont="1" applyFill="1" applyBorder="1"/>
    <xf numFmtId="0" fontId="9" fillId="3" borderId="28" xfId="0" applyFont="1" applyFill="1" applyBorder="1" applyAlignment="1">
      <alignment horizontal="center"/>
    </xf>
    <xf numFmtId="0" fontId="9" fillId="3" borderId="27" xfId="0" applyFont="1" applyFill="1" applyBorder="1" applyAlignment="1">
      <alignment horizontal="right"/>
    </xf>
    <xf numFmtId="0" fontId="9" fillId="3" borderId="27" xfId="0" applyFont="1" applyFill="1" applyBorder="1" applyAlignment="1">
      <alignment horizontal="center"/>
    </xf>
    <xf numFmtId="0" fontId="1" fillId="0" borderId="2" xfId="0" quotePrefix="1" applyFont="1" applyBorder="1"/>
    <xf numFmtId="0" fontId="1" fillId="0" borderId="2" xfId="0" applyFont="1" applyBorder="1"/>
    <xf numFmtId="164" fontId="0" fillId="0" borderId="2" xfId="0" applyNumberFormat="1" applyBorder="1"/>
    <xf numFmtId="164" fontId="0" fillId="0" borderId="4" xfId="0" applyNumberFormat="1" applyBorder="1"/>
    <xf numFmtId="0" fontId="0" fillId="0" borderId="9" xfId="0" applyBorder="1"/>
    <xf numFmtId="0" fontId="0" fillId="0" borderId="10" xfId="0" applyBorder="1"/>
    <xf numFmtId="0" fontId="1" fillId="0" borderId="1" xfId="0" applyFont="1" applyBorder="1"/>
    <xf numFmtId="0" fontId="0" fillId="4" borderId="0" xfId="0" applyFill="1"/>
    <xf numFmtId="0" fontId="1" fillId="4" borderId="0" xfId="0" applyFont="1" applyFill="1"/>
    <xf numFmtId="164" fontId="0" fillId="4" borderId="0" xfId="0" applyNumberFormat="1" applyFill="1"/>
    <xf numFmtId="0" fontId="1" fillId="0" borderId="8" xfId="0" applyFont="1" applyBorder="1"/>
    <xf numFmtId="0" fontId="1" fillId="4" borderId="0" xfId="0" quotePrefix="1" applyFont="1" applyFill="1"/>
    <xf numFmtId="0" fontId="5" fillId="0" borderId="0" xfId="0" applyFont="1"/>
    <xf numFmtId="0" fontId="16" fillId="8" borderId="41" xfId="3" applyFont="1" applyAlignment="1">
      <alignment horizontal="center" vertical="center"/>
    </xf>
    <xf numFmtId="0" fontId="17" fillId="2" borderId="7" xfId="0" applyFont="1" applyFill="1" applyBorder="1" applyAlignment="1">
      <alignment horizontal="left"/>
    </xf>
    <xf numFmtId="0" fontId="15" fillId="0" borderId="0" xfId="0" applyFont="1" applyAlignment="1">
      <alignment horizontal="center"/>
    </xf>
    <xf numFmtId="0" fontId="0" fillId="0" borderId="0" xfId="0" applyAlignment="1">
      <alignment horizontal="center" vertical="center"/>
    </xf>
    <xf numFmtId="0" fontId="0" fillId="6" borderId="42" xfId="0" applyFill="1" applyBorder="1" applyAlignment="1" applyProtection="1">
      <alignment horizontal="center"/>
      <protection locked="0"/>
    </xf>
    <xf numFmtId="0" fontId="0" fillId="6" borderId="14" xfId="0" applyFill="1" applyBorder="1" applyAlignment="1" applyProtection="1">
      <alignment horizontal="center"/>
      <protection locked="0"/>
    </xf>
    <xf numFmtId="14" fontId="0" fillId="6" borderId="14" xfId="0" applyNumberFormat="1" applyFill="1" applyBorder="1" applyAlignment="1" applyProtection="1">
      <alignment horizontal="center"/>
      <protection locked="0"/>
    </xf>
    <xf numFmtId="9" fontId="0" fillId="6" borderId="14" xfId="0" applyNumberFormat="1" applyFill="1" applyBorder="1" applyAlignment="1" applyProtection="1">
      <alignment horizontal="center"/>
      <protection locked="0"/>
    </xf>
    <xf numFmtId="2" fontId="0" fillId="6" borderId="42" xfId="0" applyNumberFormat="1" applyFill="1" applyBorder="1" applyAlignment="1">
      <alignment horizontal="center"/>
    </xf>
    <xf numFmtId="2" fontId="0" fillId="6" borderId="14" xfId="0" applyNumberFormat="1" applyFill="1" applyBorder="1" applyAlignment="1">
      <alignment horizontal="center"/>
    </xf>
    <xf numFmtId="3" fontId="0" fillId="6" borderId="13" xfId="0" applyNumberFormat="1" applyFill="1" applyBorder="1" applyProtection="1">
      <protection locked="0"/>
    </xf>
    <xf numFmtId="3" fontId="0" fillId="6" borderId="0" xfId="0" applyNumberFormat="1" applyFill="1" applyProtection="1">
      <protection locked="0"/>
    </xf>
    <xf numFmtId="0" fontId="0" fillId="0" borderId="0" xfId="0" applyAlignment="1">
      <alignment horizontal="left" vertical="center" wrapText="1"/>
    </xf>
    <xf numFmtId="0" fontId="0" fillId="0" borderId="25" xfId="0" applyBorder="1"/>
    <xf numFmtId="0" fontId="15" fillId="0" borderId="7" xfId="0" applyFont="1" applyBorder="1" applyAlignment="1">
      <alignment horizontal="left" vertical="center" wrapText="1"/>
    </xf>
    <xf numFmtId="0" fontId="15" fillId="0" borderId="7" xfId="0" applyFont="1" applyBorder="1"/>
    <xf numFmtId="0" fontId="14" fillId="0" borderId="25" xfId="0" applyFont="1" applyBorder="1" applyAlignment="1">
      <alignment horizontal="left" vertical="center" wrapText="1"/>
    </xf>
    <xf numFmtId="3" fontId="7" fillId="7" borderId="14" xfId="2" applyNumberFormat="1" applyFont="1" applyFill="1" applyBorder="1" applyAlignment="1">
      <alignment horizontal="right" vertical="center"/>
    </xf>
    <xf numFmtId="3" fontId="7" fillId="7" borderId="13" xfId="2" applyNumberFormat="1" applyFont="1" applyFill="1" applyBorder="1" applyAlignment="1">
      <alignment horizontal="right" vertical="center"/>
    </xf>
    <xf numFmtId="165" fontId="7" fillId="7" borderId="14" xfId="2" applyNumberFormat="1" applyFont="1" applyFill="1" applyBorder="1" applyAlignment="1">
      <alignment horizontal="right" vertical="center"/>
    </xf>
    <xf numFmtId="165" fontId="7" fillId="7" borderId="13" xfId="2" applyNumberFormat="1" applyFont="1" applyFill="1" applyBorder="1" applyAlignment="1">
      <alignment horizontal="right" vertical="center"/>
    </xf>
    <xf numFmtId="165" fontId="10" fillId="3" borderId="25" xfId="0" applyNumberFormat="1" applyFont="1" applyFill="1" applyBorder="1" applyAlignment="1">
      <alignment horizontal="right" vertical="center"/>
    </xf>
    <xf numFmtId="165" fontId="10" fillId="3" borderId="27" xfId="0" applyNumberFormat="1" applyFont="1" applyFill="1" applyBorder="1" applyAlignment="1">
      <alignment horizontal="right" vertical="center"/>
    </xf>
    <xf numFmtId="0" fontId="9" fillId="3" borderId="40" xfId="0" applyFont="1" applyFill="1" applyBorder="1" applyAlignment="1">
      <alignment horizontal="center"/>
    </xf>
    <xf numFmtId="0" fontId="0" fillId="6" borderId="0" xfId="0" applyFill="1" applyAlignment="1" applyProtection="1">
      <alignment horizontal="left" wrapText="1"/>
      <protection locked="0"/>
    </xf>
    <xf numFmtId="0" fontId="14" fillId="0" borderId="0" xfId="0" applyFont="1"/>
    <xf numFmtId="0" fontId="0" fillId="0" borderId="0" xfId="0" applyAlignment="1">
      <alignment horizontal="center"/>
    </xf>
    <xf numFmtId="0" fontId="15" fillId="0" borderId="0" xfId="0" applyFont="1"/>
    <xf numFmtId="3" fontId="0" fillId="2" borderId="13" xfId="0" applyNumberFormat="1" applyFill="1" applyBorder="1"/>
    <xf numFmtId="0" fontId="0" fillId="2" borderId="3" xfId="0" applyFill="1" applyBorder="1" applyAlignment="1">
      <alignment horizontal="center" vertical="center"/>
    </xf>
    <xf numFmtId="0" fontId="0" fillId="2" borderId="0" xfId="0" applyFill="1" applyAlignment="1">
      <alignment horizontal="center" vertical="center"/>
    </xf>
    <xf numFmtId="3" fontId="0" fillId="2" borderId="0" xfId="0" applyNumberFormat="1" applyFill="1"/>
    <xf numFmtId="3" fontId="0" fillId="2" borderId="17" xfId="0" applyNumberFormat="1" applyFill="1" applyBorder="1"/>
    <xf numFmtId="3" fontId="0" fillId="2" borderId="11" xfId="0" applyNumberFormat="1" applyFill="1" applyBorder="1"/>
    <xf numFmtId="3" fontId="0" fillId="2" borderId="7" xfId="0" applyNumberFormat="1" applyFill="1" applyBorder="1"/>
    <xf numFmtId="0" fontId="0" fillId="0" borderId="0" xfId="0" applyAlignment="1">
      <alignment wrapText="1"/>
    </xf>
    <xf numFmtId="3" fontId="0" fillId="0" borderId="0" xfId="0" applyNumberFormat="1"/>
    <xf numFmtId="4" fontId="0" fillId="2" borderId="3" xfId="0" applyNumberFormat="1" applyFill="1" applyBorder="1" applyAlignment="1">
      <alignment horizontal="center" vertical="center"/>
    </xf>
    <xf numFmtId="4" fontId="0" fillId="2" borderId="0" xfId="0" applyNumberFormat="1" applyFill="1" applyAlignment="1">
      <alignment horizontal="center" vertical="center"/>
    </xf>
    <xf numFmtId="3" fontId="0" fillId="0" borderId="9" xfId="0" applyNumberFormat="1" applyBorder="1"/>
    <xf numFmtId="0" fontId="0" fillId="2" borderId="20" xfId="0" applyFill="1" applyBorder="1" applyAlignment="1">
      <alignment horizontal="center" vertical="center"/>
    </xf>
    <xf numFmtId="0" fontId="1" fillId="2" borderId="22" xfId="0" applyFont="1" applyFill="1" applyBorder="1" applyAlignment="1">
      <alignment vertical="top"/>
    </xf>
    <xf numFmtId="0" fontId="1" fillId="2" borderId="7" xfId="0" applyFont="1" applyFill="1" applyBorder="1" applyAlignment="1">
      <alignment vertical="top"/>
    </xf>
    <xf numFmtId="0" fontId="0" fillId="2" borderId="7" xfId="0" applyFill="1" applyBorder="1" applyAlignment="1">
      <alignment vertical="top" wrapText="1"/>
    </xf>
    <xf numFmtId="0" fontId="0" fillId="2" borderId="7" xfId="0" applyFill="1" applyBorder="1" applyAlignment="1">
      <alignment vertical="center" wrapText="1"/>
    </xf>
    <xf numFmtId="3" fontId="0" fillId="2" borderId="7" xfId="0" applyNumberFormat="1" applyFill="1" applyBorder="1" applyAlignment="1">
      <alignment vertical="center"/>
    </xf>
    <xf numFmtId="3" fontId="0" fillId="2" borderId="7" xfId="0" applyNumberFormat="1" applyFill="1" applyBorder="1" applyAlignment="1">
      <alignment horizontal="center" vertical="center"/>
    </xf>
    <xf numFmtId="0" fontId="0" fillId="2" borderId="17" xfId="0" applyFill="1" applyBorder="1" applyAlignment="1">
      <alignment horizontal="right"/>
    </xf>
    <xf numFmtId="4" fontId="0" fillId="2" borderId="7" xfId="0" applyNumberFormat="1" applyFill="1" applyBorder="1" applyAlignment="1">
      <alignment horizontal="center" vertical="center"/>
    </xf>
    <xf numFmtId="0" fontId="17" fillId="2" borderId="26" xfId="0" applyFont="1" applyFill="1" applyBorder="1" applyAlignment="1">
      <alignment horizontal="center" vertical="center"/>
    </xf>
    <xf numFmtId="3" fontId="17" fillId="2" borderId="27" xfId="0" applyNumberFormat="1" applyFont="1" applyFill="1" applyBorder="1" applyAlignment="1">
      <alignment horizontal="center"/>
    </xf>
    <xf numFmtId="3" fontId="17" fillId="2" borderId="26" xfId="0" applyNumberFormat="1" applyFont="1" applyFill="1" applyBorder="1" applyAlignment="1">
      <alignment horizontal="center"/>
    </xf>
    <xf numFmtId="0" fontId="17" fillId="2" borderId="51" xfId="0" applyFont="1" applyFill="1" applyBorder="1" applyAlignment="1">
      <alignment horizontal="center" vertical="center"/>
    </xf>
    <xf numFmtId="3" fontId="17" fillId="2" borderId="43" xfId="0" applyNumberFormat="1" applyFont="1" applyFill="1" applyBorder="1" applyAlignment="1">
      <alignment horizontal="center"/>
    </xf>
    <xf numFmtId="0" fontId="17" fillId="2" borderId="7" xfId="0" applyFont="1" applyFill="1" applyBorder="1"/>
    <xf numFmtId="0" fontId="17" fillId="2" borderId="28" xfId="0" applyFont="1" applyFill="1" applyBorder="1" applyAlignment="1">
      <alignment horizontal="center" vertical="center"/>
    </xf>
    <xf numFmtId="166" fontId="0" fillId="0" borderId="13" xfId="0" applyNumberFormat="1" applyBorder="1"/>
    <xf numFmtId="4" fontId="0" fillId="0" borderId="3" xfId="0" applyNumberFormat="1" applyBorder="1" applyAlignment="1">
      <alignment horizontal="center" vertical="center"/>
    </xf>
    <xf numFmtId="0" fontId="0" fillId="6" borderId="13" xfId="0" applyFill="1" applyBorder="1" applyAlignment="1">
      <alignment horizontal="center"/>
    </xf>
    <xf numFmtId="0" fontId="0" fillId="2" borderId="22" xfId="0" applyFill="1" applyBorder="1" applyAlignment="1">
      <alignment vertical="top"/>
    </xf>
    <xf numFmtId="0" fontId="0" fillId="2" borderId="7" xfId="0" applyFill="1" applyBorder="1" applyAlignment="1">
      <alignment vertical="top"/>
    </xf>
    <xf numFmtId="0" fontId="0" fillId="2" borderId="7" xfId="0" applyFill="1" applyBorder="1" applyAlignment="1">
      <alignment wrapText="1"/>
    </xf>
    <xf numFmtId="0" fontId="0" fillId="2" borderId="7" xfId="0" applyFill="1" applyBorder="1"/>
    <xf numFmtId="0" fontId="0" fillId="2" borderId="7" xfId="0" applyFill="1" applyBorder="1" applyAlignment="1">
      <alignment horizontal="center"/>
    </xf>
    <xf numFmtId="0" fontId="0" fillId="2" borderId="7" xfId="0" applyFill="1" applyBorder="1" applyAlignment="1">
      <alignment horizontal="center" vertical="center"/>
    </xf>
    <xf numFmtId="4" fontId="0" fillId="2" borderId="20" xfId="0" applyNumberFormat="1" applyFill="1" applyBorder="1" applyAlignment="1">
      <alignment horizontal="center" vertical="center"/>
    </xf>
    <xf numFmtId="0" fontId="17" fillId="2" borderId="7" xfId="0" applyFont="1" applyFill="1" applyBorder="1" applyAlignment="1">
      <alignment horizontal="left" wrapText="1"/>
    </xf>
    <xf numFmtId="0" fontId="17" fillId="2" borderId="27" xfId="0" applyFont="1" applyFill="1" applyBorder="1"/>
    <xf numFmtId="0" fontId="17" fillId="2" borderId="17" xfId="0" applyFont="1" applyFill="1" applyBorder="1"/>
    <xf numFmtId="0" fontId="17" fillId="2" borderId="17" xfId="0" applyFont="1" applyFill="1" applyBorder="1" applyAlignment="1">
      <alignment horizontal="center"/>
    </xf>
    <xf numFmtId="0" fontId="17" fillId="2" borderId="40" xfId="0" applyFont="1" applyFill="1" applyBorder="1"/>
    <xf numFmtId="3" fontId="0" fillId="2" borderId="22" xfId="0" applyNumberFormat="1" applyFill="1" applyBorder="1" applyAlignment="1">
      <alignment horizontal="center" vertical="center"/>
    </xf>
    <xf numFmtId="0" fontId="17" fillId="2" borderId="7" xfId="0" applyFont="1" applyFill="1" applyBorder="1" applyAlignment="1">
      <alignment horizontal="center"/>
    </xf>
    <xf numFmtId="3" fontId="0" fillId="2" borderId="51" xfId="0" applyNumberFormat="1" applyFill="1" applyBorder="1" applyAlignment="1">
      <alignment horizontal="center" vertical="center"/>
    </xf>
    <xf numFmtId="0" fontId="0" fillId="5" borderId="0" xfId="0" applyFill="1" applyAlignment="1">
      <alignment horizontal="center"/>
    </xf>
    <xf numFmtId="0" fontId="17" fillId="2" borderId="7" xfId="0" applyFont="1" applyFill="1" applyBorder="1" applyAlignment="1">
      <alignment horizontal="left" indent="1"/>
    </xf>
    <xf numFmtId="0" fontId="17" fillId="2" borderId="22" xfId="0" applyFont="1" applyFill="1" applyBorder="1" applyAlignment="1">
      <alignment horizontal="center"/>
    </xf>
    <xf numFmtId="3" fontId="17" fillId="2" borderId="17" xfId="0" applyNumberFormat="1" applyFont="1" applyFill="1" applyBorder="1" applyAlignment="1">
      <alignment horizontal="center"/>
    </xf>
    <xf numFmtId="3" fontId="17" fillId="2" borderId="7" xfId="0" applyNumberFormat="1" applyFont="1" applyFill="1" applyBorder="1" applyAlignment="1">
      <alignment horizontal="center"/>
    </xf>
    <xf numFmtId="0" fontId="17" fillId="2" borderId="6" xfId="0" applyFont="1" applyFill="1" applyBorder="1" applyAlignment="1">
      <alignment horizontal="center"/>
    </xf>
    <xf numFmtId="3" fontId="17" fillId="2" borderId="11" xfId="0" applyNumberFormat="1" applyFont="1" applyFill="1" applyBorder="1" applyAlignment="1">
      <alignment horizontal="center"/>
    </xf>
    <xf numFmtId="0" fontId="0" fillId="5" borderId="0" xfId="0" applyFill="1"/>
    <xf numFmtId="0" fontId="0" fillId="5" borderId="0" xfId="0" applyFill="1" applyAlignment="1">
      <alignment wrapText="1"/>
    </xf>
    <xf numFmtId="0" fontId="14" fillId="5" borderId="0" xfId="0" applyFont="1" applyFill="1"/>
    <xf numFmtId="14" fontId="0" fillId="5" borderId="0" xfId="0" applyNumberFormat="1" applyFill="1" applyAlignment="1">
      <alignment horizontal="center" vertical="center"/>
    </xf>
    <xf numFmtId="0" fontId="0" fillId="5" borderId="0" xfId="0" applyFill="1" applyAlignment="1">
      <alignment horizontal="center" vertical="center"/>
    </xf>
    <xf numFmtId="3" fontId="0" fillId="5" borderId="0" xfId="0" applyNumberFormat="1" applyFill="1"/>
    <xf numFmtId="0" fontId="0" fillId="0" borderId="57" xfId="0" applyBorder="1"/>
    <xf numFmtId="0" fontId="0" fillId="0" borderId="58" xfId="0" applyBorder="1"/>
    <xf numFmtId="0" fontId="0" fillId="0" borderId="56" xfId="0" applyBorder="1"/>
    <xf numFmtId="0" fontId="0" fillId="0" borderId="14" xfId="0" applyBorder="1"/>
    <xf numFmtId="0" fontId="20" fillId="0" borderId="0" xfId="0" applyFont="1" applyAlignment="1">
      <alignment vertical="center"/>
    </xf>
    <xf numFmtId="0" fontId="0" fillId="0" borderId="0" xfId="0" applyAlignment="1">
      <alignment vertical="center"/>
    </xf>
    <xf numFmtId="0" fontId="0" fillId="2" borderId="22" xfId="0" applyFill="1" applyBorder="1" applyAlignment="1">
      <alignment horizontal="center" vertical="center"/>
    </xf>
    <xf numFmtId="0" fontId="24" fillId="0" borderId="0" xfId="0" applyFont="1"/>
    <xf numFmtId="3" fontId="0" fillId="6" borderId="14" xfId="0" applyNumberFormat="1" applyFill="1" applyBorder="1" applyAlignment="1" applyProtection="1">
      <alignment horizontal="center"/>
      <protection locked="0" hidden="1"/>
    </xf>
    <xf numFmtId="0" fontId="0" fillId="0" borderId="5" xfId="0" applyBorder="1"/>
    <xf numFmtId="3" fontId="0" fillId="0" borderId="0" xfId="0" applyNumberFormat="1" applyAlignment="1">
      <alignment horizontal="center"/>
    </xf>
    <xf numFmtId="0" fontId="3" fillId="0" borderId="0" xfId="0" applyFont="1" applyAlignment="1">
      <alignment horizontal="left" vertical="top"/>
    </xf>
    <xf numFmtId="0" fontId="0" fillId="6" borderId="0" xfId="0" applyFill="1" applyAlignment="1">
      <alignment horizontal="left" vertical="center" wrapText="1"/>
    </xf>
    <xf numFmtId="0" fontId="0" fillId="6" borderId="20" xfId="0" applyFill="1" applyBorder="1" applyAlignment="1" applyProtection="1">
      <alignment horizontal="center" vertical="center"/>
      <protection locked="0"/>
    </xf>
    <xf numFmtId="0" fontId="0" fillId="6" borderId="0" xfId="0" applyFill="1" applyAlignment="1" applyProtection="1">
      <alignment horizontal="center" vertical="center"/>
      <protection locked="0"/>
    </xf>
    <xf numFmtId="3" fontId="20" fillId="0" borderId="0" xfId="0" applyNumberFormat="1" applyFont="1"/>
    <xf numFmtId="3" fontId="1" fillId="0" borderId="0" xfId="0" applyNumberFormat="1" applyFont="1" applyAlignment="1">
      <alignment horizontal="center" vertical="center"/>
    </xf>
    <xf numFmtId="3" fontId="0" fillId="2" borderId="67" xfId="0" applyNumberFormat="1" applyFill="1" applyBorder="1"/>
    <xf numFmtId="3" fontId="0" fillId="2" borderId="68" xfId="0" applyNumberFormat="1" applyFill="1" applyBorder="1"/>
    <xf numFmtId="3" fontId="0" fillId="2" borderId="6" xfId="0" applyNumberFormat="1" applyFill="1" applyBorder="1" applyAlignment="1">
      <alignment horizontal="center"/>
    </xf>
    <xf numFmtId="3" fontId="0" fillId="2" borderId="7" xfId="0" applyNumberFormat="1" applyFill="1" applyBorder="1" applyAlignment="1">
      <alignment horizontal="center"/>
    </xf>
    <xf numFmtId="3" fontId="0" fillId="2" borderId="72" xfId="0" applyNumberFormat="1" applyFill="1" applyBorder="1"/>
    <xf numFmtId="3" fontId="0" fillId="2" borderId="64" xfId="0" applyNumberFormat="1" applyFill="1" applyBorder="1"/>
    <xf numFmtId="3" fontId="0" fillId="2" borderId="65" xfId="0" applyNumberFormat="1" applyFill="1" applyBorder="1"/>
    <xf numFmtId="3" fontId="0" fillId="2" borderId="51" xfId="0" applyNumberFormat="1" applyFill="1" applyBorder="1" applyAlignment="1">
      <alignment horizontal="center"/>
    </xf>
    <xf numFmtId="3" fontId="0" fillId="2" borderId="26" xfId="0" applyNumberFormat="1" applyFill="1" applyBorder="1" applyAlignment="1">
      <alignment horizontal="center"/>
    </xf>
    <xf numFmtId="3" fontId="0" fillId="2" borderId="73" xfId="0" applyNumberFormat="1" applyFill="1" applyBorder="1"/>
    <xf numFmtId="3" fontId="0" fillId="2" borderId="30" xfId="0" applyNumberFormat="1" applyFill="1" applyBorder="1" applyAlignment="1">
      <alignment horizontal="center"/>
    </xf>
    <xf numFmtId="3" fontId="0" fillId="2" borderId="33" xfId="0" applyNumberFormat="1" applyFill="1" applyBorder="1" applyAlignment="1">
      <alignment horizontal="center"/>
    </xf>
    <xf numFmtId="3" fontId="1" fillId="2" borderId="70" xfId="0" applyNumberFormat="1" applyFont="1" applyFill="1" applyBorder="1"/>
    <xf numFmtId="3" fontId="0" fillId="2" borderId="71" xfId="0" applyNumberFormat="1" applyFill="1" applyBorder="1"/>
    <xf numFmtId="3" fontId="0" fillId="2" borderId="77" xfId="0" applyNumberFormat="1" applyFill="1" applyBorder="1"/>
    <xf numFmtId="3" fontId="0" fillId="2" borderId="22" xfId="0" applyNumberFormat="1" applyFill="1" applyBorder="1"/>
    <xf numFmtId="3" fontId="0" fillId="2" borderId="28" xfId="0" applyNumberFormat="1" applyFill="1" applyBorder="1"/>
    <xf numFmtId="3" fontId="0" fillId="2" borderId="43" xfId="0" applyNumberFormat="1" applyFill="1" applyBorder="1" applyAlignment="1">
      <alignment horizontal="center"/>
    </xf>
    <xf numFmtId="3" fontId="0" fillId="2" borderId="66" xfId="0" applyNumberFormat="1" applyFill="1" applyBorder="1"/>
    <xf numFmtId="3" fontId="0" fillId="2" borderId="29" xfId="0" applyNumberFormat="1" applyFill="1" applyBorder="1"/>
    <xf numFmtId="3" fontId="0" fillId="2" borderId="61" xfId="0" applyNumberFormat="1" applyFill="1" applyBorder="1" applyAlignment="1">
      <alignment horizontal="center"/>
    </xf>
    <xf numFmtId="3" fontId="0" fillId="2" borderId="15" xfId="0" applyNumberFormat="1" applyFill="1" applyBorder="1" applyAlignment="1">
      <alignment horizontal="center"/>
    </xf>
    <xf numFmtId="3" fontId="0" fillId="2" borderId="75" xfId="0" applyNumberFormat="1" applyFill="1" applyBorder="1"/>
    <xf numFmtId="3" fontId="0" fillId="2" borderId="70" xfId="0" applyNumberFormat="1" applyFill="1" applyBorder="1" applyAlignment="1">
      <alignment horizontal="center"/>
    </xf>
    <xf numFmtId="3" fontId="0" fillId="2" borderId="76" xfId="0" applyNumberFormat="1" applyFill="1" applyBorder="1" applyAlignment="1">
      <alignment horizontal="center"/>
    </xf>
    <xf numFmtId="3" fontId="0" fillId="2" borderId="71" xfId="0" applyNumberFormat="1" applyFill="1" applyBorder="1" applyAlignment="1">
      <alignment horizontal="center"/>
    </xf>
    <xf numFmtId="0" fontId="28" fillId="5" borderId="0" xfId="0" applyFont="1" applyFill="1"/>
    <xf numFmtId="0" fontId="0" fillId="0" borderId="2" xfId="0" applyBorder="1"/>
    <xf numFmtId="0" fontId="0" fillId="5" borderId="0" xfId="0" quotePrefix="1" applyFill="1"/>
    <xf numFmtId="167" fontId="1" fillId="5" borderId="0" xfId="0" applyNumberFormat="1" applyFont="1" applyFill="1" applyAlignment="1">
      <alignment horizontal="left"/>
    </xf>
    <xf numFmtId="9" fontId="1" fillId="6" borderId="7" xfId="0" applyNumberFormat="1" applyFont="1" applyFill="1" applyBorder="1" applyAlignment="1" applyProtection="1">
      <alignment horizontal="center" vertical="center" wrapText="1"/>
      <protection locked="0"/>
    </xf>
    <xf numFmtId="0" fontId="1" fillId="0" borderId="0" xfId="0" applyFont="1" applyAlignment="1">
      <alignment horizontal="left" vertical="top"/>
    </xf>
    <xf numFmtId="0" fontId="19" fillId="0" borderId="0" xfId="5"/>
    <xf numFmtId="0" fontId="0" fillId="6" borderId="14" xfId="0" applyFill="1" applyBorder="1" applyAlignment="1">
      <alignment horizontal="center"/>
    </xf>
    <xf numFmtId="3" fontId="0" fillId="0" borderId="25" xfId="0" applyNumberFormat="1" applyBorder="1"/>
    <xf numFmtId="0" fontId="0" fillId="6" borderId="42" xfId="0" applyFill="1" applyBorder="1" applyAlignment="1">
      <alignment horizontal="center"/>
    </xf>
    <xf numFmtId="0" fontId="5" fillId="10" borderId="4" xfId="0" applyFont="1" applyFill="1" applyBorder="1" applyAlignment="1">
      <alignment horizontal="left" vertical="top"/>
    </xf>
    <xf numFmtId="0" fontId="4" fillId="10" borderId="5" xfId="0" applyFont="1" applyFill="1" applyBorder="1" applyAlignment="1">
      <alignment horizontal="left" indent="1"/>
    </xf>
    <xf numFmtId="0" fontId="1" fillId="10" borderId="5" xfId="0" applyFont="1" applyFill="1" applyBorder="1" applyAlignment="1">
      <alignment horizontal="center" wrapText="1"/>
    </xf>
    <xf numFmtId="0" fontId="1" fillId="10" borderId="5" xfId="0" applyFont="1" applyFill="1" applyBorder="1"/>
    <xf numFmtId="0" fontId="1" fillId="10" borderId="5" xfId="0" applyFont="1" applyFill="1" applyBorder="1" applyAlignment="1">
      <alignment horizontal="center"/>
    </xf>
    <xf numFmtId="3" fontId="0" fillId="10" borderId="29" xfId="0" applyNumberFormat="1" applyFill="1" applyBorder="1" applyAlignment="1">
      <alignment horizontal="center" vertical="center"/>
    </xf>
    <xf numFmtId="9" fontId="0" fillId="10" borderId="30" xfId="4" applyFont="1" applyFill="1" applyBorder="1" applyAlignment="1">
      <alignment horizontal="center"/>
    </xf>
    <xf numFmtId="3" fontId="1" fillId="10" borderId="31" xfId="0" applyNumberFormat="1" applyFont="1" applyFill="1" applyBorder="1"/>
    <xf numFmtId="3" fontId="0" fillId="10" borderId="31" xfId="0" applyNumberFormat="1" applyFill="1" applyBorder="1"/>
    <xf numFmtId="3" fontId="1" fillId="10" borderId="33" xfId="0" applyNumberFormat="1" applyFont="1" applyFill="1" applyBorder="1"/>
    <xf numFmtId="3" fontId="0" fillId="10" borderId="32" xfId="0" applyNumberFormat="1" applyFill="1" applyBorder="1" applyAlignment="1">
      <alignment horizontal="center" vertical="center"/>
    </xf>
    <xf numFmtId="0" fontId="6" fillId="10" borderId="24" xfId="0" applyFont="1" applyFill="1" applyBorder="1" applyAlignment="1">
      <alignment horizontal="center" vertical="top"/>
    </xf>
    <xf numFmtId="0" fontId="0" fillId="10" borderId="38" xfId="0" applyFill="1" applyBorder="1" applyAlignment="1">
      <alignment wrapText="1"/>
    </xf>
    <xf numFmtId="0" fontId="0" fillId="10" borderId="38" xfId="0" applyFill="1" applyBorder="1"/>
    <xf numFmtId="0" fontId="0" fillId="10" borderId="38" xfId="0" applyFill="1" applyBorder="1" applyAlignment="1">
      <alignment horizontal="center"/>
    </xf>
    <xf numFmtId="0" fontId="0" fillId="10" borderId="38" xfId="0" applyFill="1" applyBorder="1" applyAlignment="1">
      <alignment horizontal="center" vertical="center"/>
    </xf>
    <xf numFmtId="3" fontId="0" fillId="10" borderId="38" xfId="0" applyNumberFormat="1" applyFill="1" applyBorder="1"/>
    <xf numFmtId="3" fontId="0" fillId="10" borderId="44" xfId="0" applyNumberFormat="1" applyFill="1" applyBorder="1"/>
    <xf numFmtId="0" fontId="1" fillId="11" borderId="7" xfId="0" applyFont="1" applyFill="1" applyBorder="1" applyAlignment="1">
      <alignment vertical="center"/>
    </xf>
    <xf numFmtId="0" fontId="1" fillId="11" borderId="7" xfId="0" applyFont="1" applyFill="1" applyBorder="1" applyAlignment="1">
      <alignment horizontal="center" vertical="center"/>
    </xf>
    <xf numFmtId="3" fontId="1" fillId="11" borderId="17" xfId="0" applyNumberFormat="1" applyFont="1" applyFill="1" applyBorder="1" applyAlignment="1">
      <alignment horizontal="right"/>
    </xf>
    <xf numFmtId="3" fontId="0" fillId="11" borderId="20" xfId="0" applyNumberFormat="1" applyFill="1" applyBorder="1" applyAlignment="1">
      <alignment horizontal="center" vertical="center"/>
    </xf>
    <xf numFmtId="9" fontId="0" fillId="11" borderId="0" xfId="4" applyFont="1" applyFill="1" applyAlignment="1">
      <alignment horizontal="center" vertical="center"/>
    </xf>
    <xf numFmtId="3" fontId="0" fillId="11" borderId="17" xfId="0" applyNumberFormat="1" applyFill="1" applyBorder="1"/>
    <xf numFmtId="3" fontId="0" fillId="11" borderId="0" xfId="0" applyNumberFormat="1" applyFill="1"/>
    <xf numFmtId="9" fontId="0" fillId="11" borderId="7" xfId="4" applyFont="1" applyFill="1" applyBorder="1" applyAlignment="1">
      <alignment horizontal="center"/>
    </xf>
    <xf numFmtId="3" fontId="0" fillId="11" borderId="11" xfId="0" applyNumberFormat="1" applyFill="1" applyBorder="1"/>
    <xf numFmtId="3" fontId="0" fillId="11" borderId="3" xfId="0" applyNumberFormat="1" applyFill="1" applyBorder="1"/>
    <xf numFmtId="9" fontId="0" fillId="11" borderId="7" xfId="4" applyFont="1" applyFill="1" applyBorder="1" applyAlignment="1"/>
    <xf numFmtId="0" fontId="1" fillId="11" borderId="0" xfId="0" applyFont="1" applyFill="1" applyAlignment="1">
      <alignment vertical="center" wrapText="1"/>
    </xf>
    <xf numFmtId="0" fontId="1" fillId="11" borderId="0" xfId="0" applyFont="1" applyFill="1" applyAlignment="1">
      <alignment vertical="center"/>
    </xf>
    <xf numFmtId="0" fontId="1" fillId="11" borderId="0" xfId="0" applyFont="1" applyFill="1" applyAlignment="1">
      <alignment horizontal="center" vertical="center"/>
    </xf>
    <xf numFmtId="3" fontId="1" fillId="11" borderId="13" xfId="0" applyNumberFormat="1" applyFont="1" applyFill="1" applyBorder="1" applyAlignment="1">
      <alignment horizontal="right"/>
    </xf>
    <xf numFmtId="3" fontId="0" fillId="11" borderId="0" xfId="0" applyNumberFormat="1" applyFill="1" applyAlignment="1">
      <alignment horizontal="center" vertical="center"/>
    </xf>
    <xf numFmtId="3" fontId="0" fillId="11" borderId="13" xfId="0" applyNumberFormat="1" applyFill="1" applyBorder="1"/>
    <xf numFmtId="0" fontId="1" fillId="11" borderId="3" xfId="0" applyFont="1" applyFill="1" applyBorder="1" applyAlignment="1">
      <alignment horizontal="center" vertical="center"/>
    </xf>
    <xf numFmtId="3" fontId="0" fillId="11" borderId="9" xfId="0" applyNumberFormat="1" applyFill="1" applyBorder="1"/>
    <xf numFmtId="0" fontId="17" fillId="11" borderId="7" xfId="0" applyFont="1" applyFill="1" applyBorder="1" applyAlignment="1">
      <alignment horizontal="left" wrapText="1"/>
    </xf>
    <xf numFmtId="0" fontId="17" fillId="11" borderId="7" xfId="0" applyFont="1" applyFill="1" applyBorder="1" applyAlignment="1">
      <alignment horizontal="left"/>
    </xf>
    <xf numFmtId="0" fontId="17" fillId="11" borderId="7" xfId="0" applyFont="1" applyFill="1" applyBorder="1" applyAlignment="1">
      <alignment horizontal="center" wrapText="1"/>
    </xf>
    <xf numFmtId="4" fontId="0" fillId="11" borderId="26" xfId="0" applyNumberFormat="1" applyFill="1" applyBorder="1" applyAlignment="1">
      <alignment horizontal="center" vertical="center"/>
    </xf>
    <xf numFmtId="3" fontId="0" fillId="11" borderId="27" xfId="0" applyNumberFormat="1" applyFill="1" applyBorder="1"/>
    <xf numFmtId="3" fontId="0" fillId="11" borderId="26" xfId="0" applyNumberFormat="1" applyFill="1" applyBorder="1"/>
    <xf numFmtId="4" fontId="0" fillId="11" borderId="51" xfId="0" applyNumberFormat="1" applyFill="1" applyBorder="1" applyAlignment="1">
      <alignment horizontal="center" vertical="center"/>
    </xf>
    <xf numFmtId="4" fontId="0" fillId="11" borderId="7" xfId="0" applyNumberFormat="1" applyFill="1" applyBorder="1" applyAlignment="1">
      <alignment horizontal="center" vertical="center"/>
    </xf>
    <xf numFmtId="0" fontId="0" fillId="11" borderId="22" xfId="0" applyFill="1" applyBorder="1" applyAlignment="1">
      <alignment horizontal="right" vertical="top"/>
    </xf>
    <xf numFmtId="0" fontId="0" fillId="11" borderId="7" xfId="0" applyFill="1" applyBorder="1" applyAlignment="1">
      <alignment horizontal="right" vertical="top"/>
    </xf>
    <xf numFmtId="0" fontId="0" fillId="11" borderId="7" xfId="0" applyFill="1" applyBorder="1" applyAlignment="1">
      <alignment horizontal="right" vertical="top" wrapText="1"/>
    </xf>
    <xf numFmtId="0" fontId="0" fillId="11" borderId="7" xfId="0" applyFill="1" applyBorder="1" applyAlignment="1">
      <alignment horizontal="right" vertical="center" wrapText="1"/>
    </xf>
    <xf numFmtId="0" fontId="0" fillId="11" borderId="7" xfId="0" applyFill="1" applyBorder="1" applyAlignment="1">
      <alignment horizontal="right" vertical="center"/>
    </xf>
    <xf numFmtId="0" fontId="0" fillId="11" borderId="7" xfId="0" applyFill="1" applyBorder="1" applyAlignment="1">
      <alignment horizontal="center" vertical="center"/>
    </xf>
    <xf numFmtId="0" fontId="14" fillId="11" borderId="17" xfId="0" applyFont="1" applyFill="1" applyBorder="1" applyAlignment="1">
      <alignment horizontal="right"/>
    </xf>
    <xf numFmtId="4" fontId="14" fillId="11" borderId="7" xfId="0" applyNumberFormat="1" applyFont="1" applyFill="1" applyBorder="1" applyAlignment="1">
      <alignment horizontal="center" vertical="center"/>
    </xf>
    <xf numFmtId="3" fontId="14" fillId="11" borderId="17" xfId="0" applyNumberFormat="1" applyFont="1" applyFill="1" applyBorder="1"/>
    <xf numFmtId="3" fontId="14" fillId="11" borderId="7" xfId="0" applyNumberFormat="1" applyFont="1" applyFill="1" applyBorder="1"/>
    <xf numFmtId="4" fontId="14" fillId="11" borderId="3" xfId="0" applyNumberFormat="1" applyFont="1" applyFill="1" applyBorder="1" applyAlignment="1">
      <alignment horizontal="center" vertical="center"/>
    </xf>
    <xf numFmtId="3" fontId="14" fillId="11" borderId="11" xfId="0" applyNumberFormat="1" applyFont="1" applyFill="1" applyBorder="1"/>
    <xf numFmtId="3" fontId="0" fillId="11" borderId="43" xfId="0" applyNumberFormat="1" applyFill="1" applyBorder="1"/>
    <xf numFmtId="0" fontId="14" fillId="11" borderId="22" xfId="0" applyFont="1" applyFill="1" applyBorder="1" applyAlignment="1">
      <alignment horizontal="right" vertical="top"/>
    </xf>
    <xf numFmtId="0" fontId="14" fillId="11" borderId="7" xfId="0" applyFont="1" applyFill="1" applyBorder="1" applyAlignment="1">
      <alignment horizontal="right" vertical="top"/>
    </xf>
    <xf numFmtId="0" fontId="14" fillId="11" borderId="7" xfId="0" applyFont="1" applyFill="1" applyBorder="1" applyAlignment="1">
      <alignment horizontal="right" vertical="top" wrapText="1"/>
    </xf>
    <xf numFmtId="0" fontId="14" fillId="11" borderId="7" xfId="0" applyFont="1" applyFill="1" applyBorder="1" applyAlignment="1">
      <alignment horizontal="right" vertical="center" wrapText="1"/>
    </xf>
    <xf numFmtId="0" fontId="14" fillId="11" borderId="7" xfId="0" applyFont="1" applyFill="1" applyBorder="1" applyAlignment="1">
      <alignment horizontal="right" vertical="center"/>
    </xf>
    <xf numFmtId="0" fontId="14" fillId="11" borderId="7" xfId="0" applyFont="1" applyFill="1" applyBorder="1" applyAlignment="1">
      <alignment horizontal="center" vertical="center"/>
    </xf>
    <xf numFmtId="0" fontId="3" fillId="11" borderId="7" xfId="0" applyFont="1" applyFill="1" applyBorder="1" applyAlignment="1">
      <alignment horizontal="left" wrapText="1"/>
    </xf>
    <xf numFmtId="0" fontId="3" fillId="11" borderId="7" xfId="0" applyFont="1" applyFill="1" applyBorder="1" applyAlignment="1">
      <alignment horizontal="center" wrapText="1"/>
    </xf>
    <xf numFmtId="4" fontId="0" fillId="11" borderId="22" xfId="0" applyNumberFormat="1" applyFill="1" applyBorder="1" applyAlignment="1">
      <alignment horizontal="center" vertical="center"/>
    </xf>
    <xf numFmtId="0" fontId="0" fillId="11" borderId="20" xfId="0" applyFill="1" applyBorder="1" applyAlignment="1">
      <alignment horizontal="center" vertical="center"/>
    </xf>
    <xf numFmtId="0" fontId="0" fillId="11" borderId="0" xfId="0" applyFill="1" applyAlignment="1">
      <alignment horizontal="center" vertical="center"/>
    </xf>
    <xf numFmtId="4" fontId="0" fillId="11" borderId="3" xfId="0" applyNumberFormat="1" applyFill="1" applyBorder="1" applyAlignment="1">
      <alignment horizontal="center" vertical="center"/>
    </xf>
    <xf numFmtId="4" fontId="0" fillId="11" borderId="0" xfId="0" applyNumberFormat="1" applyFill="1" applyAlignment="1">
      <alignment horizontal="center" vertical="center"/>
    </xf>
    <xf numFmtId="3" fontId="1" fillId="10" borderId="49" xfId="0" applyNumberFormat="1" applyFont="1" applyFill="1" applyBorder="1"/>
    <xf numFmtId="3" fontId="1" fillId="10" borderId="74" xfId="0" applyNumberFormat="1" applyFont="1" applyFill="1" applyBorder="1" applyAlignment="1">
      <alignment horizontal="center" vertical="center"/>
    </xf>
    <xf numFmtId="3" fontId="0" fillId="9" borderId="44" xfId="0" applyNumberFormat="1" applyFill="1" applyBorder="1"/>
    <xf numFmtId="3" fontId="1" fillId="9" borderId="74" xfId="0" applyNumberFormat="1" applyFont="1" applyFill="1" applyBorder="1" applyAlignment="1">
      <alignment horizontal="center" vertical="center"/>
    </xf>
    <xf numFmtId="3" fontId="1" fillId="9" borderId="49" xfId="0" applyNumberFormat="1" applyFont="1" applyFill="1" applyBorder="1"/>
    <xf numFmtId="3" fontId="1" fillId="9" borderId="38" xfId="0" applyNumberFormat="1" applyFont="1" applyFill="1" applyBorder="1"/>
    <xf numFmtId="3" fontId="1" fillId="9" borderId="51" xfId="0" applyNumberFormat="1" applyFont="1" applyFill="1" applyBorder="1"/>
    <xf numFmtId="3" fontId="0" fillId="9" borderId="26" xfId="0" applyNumberFormat="1" applyFill="1" applyBorder="1"/>
    <xf numFmtId="3" fontId="0" fillId="11" borderId="67" xfId="0" applyNumberFormat="1" applyFill="1" applyBorder="1"/>
    <xf numFmtId="3" fontId="0" fillId="11" borderId="68" xfId="0" applyNumberFormat="1" applyFill="1" applyBorder="1"/>
    <xf numFmtId="3" fontId="0" fillId="11" borderId="6" xfId="0" applyNumberFormat="1" applyFill="1" applyBorder="1" applyAlignment="1">
      <alignment horizontal="center"/>
    </xf>
    <xf numFmtId="3" fontId="0" fillId="11" borderId="7" xfId="0" applyNumberFormat="1" applyFill="1" applyBorder="1" applyAlignment="1">
      <alignment horizontal="center"/>
    </xf>
    <xf numFmtId="3" fontId="0" fillId="11" borderId="7" xfId="0" applyNumberFormat="1" applyFill="1" applyBorder="1" applyAlignment="1">
      <alignment horizontal="center" vertical="center"/>
    </xf>
    <xf numFmtId="3" fontId="0" fillId="11" borderId="72" xfId="0" applyNumberFormat="1" applyFill="1" applyBorder="1"/>
    <xf numFmtId="3" fontId="0" fillId="11" borderId="64" xfId="0" applyNumberFormat="1" applyFill="1" applyBorder="1"/>
    <xf numFmtId="3" fontId="0" fillId="11" borderId="65" xfId="0" applyNumberFormat="1" applyFill="1" applyBorder="1"/>
    <xf numFmtId="3" fontId="0" fillId="11" borderId="51" xfId="0" applyNumberFormat="1" applyFill="1" applyBorder="1" applyAlignment="1">
      <alignment horizontal="center"/>
    </xf>
    <xf numFmtId="3" fontId="0" fillId="11" borderId="26" xfId="0" applyNumberFormat="1" applyFill="1" applyBorder="1" applyAlignment="1">
      <alignment horizontal="center"/>
    </xf>
    <xf numFmtId="3" fontId="0" fillId="11" borderId="73" xfId="0" applyNumberFormat="1" applyFill="1" applyBorder="1"/>
    <xf numFmtId="3" fontId="1" fillId="11" borderId="70" xfId="0" applyNumberFormat="1" applyFont="1" applyFill="1" applyBorder="1"/>
    <xf numFmtId="3" fontId="0" fillId="11" borderId="71" xfId="0" applyNumberFormat="1" applyFill="1" applyBorder="1"/>
    <xf numFmtId="3" fontId="0" fillId="11" borderId="77" xfId="0" applyNumberFormat="1" applyFill="1" applyBorder="1"/>
    <xf numFmtId="3" fontId="0" fillId="9" borderId="6" xfId="0" applyNumberFormat="1" applyFill="1" applyBorder="1" applyAlignment="1">
      <alignment horizontal="center"/>
    </xf>
    <xf numFmtId="3" fontId="0" fillId="9" borderId="7" xfId="0" applyNumberFormat="1" applyFill="1" applyBorder="1" applyAlignment="1">
      <alignment horizontal="center"/>
    </xf>
    <xf numFmtId="3" fontId="0" fillId="9" borderId="72" xfId="0" applyNumberFormat="1" applyFill="1" applyBorder="1"/>
    <xf numFmtId="3" fontId="0" fillId="9" borderId="32" xfId="0" applyNumberFormat="1" applyFill="1" applyBorder="1"/>
    <xf numFmtId="9" fontId="0" fillId="9" borderId="33" xfId="4" applyFont="1" applyFill="1" applyBorder="1" applyAlignment="1">
      <alignment horizontal="left"/>
    </xf>
    <xf numFmtId="3" fontId="0" fillId="9" borderId="32" xfId="0" applyNumberFormat="1" applyFill="1" applyBorder="1" applyAlignment="1">
      <alignment horizontal="center"/>
    </xf>
    <xf numFmtId="3" fontId="0" fillId="9" borderId="30" xfId="0" applyNumberFormat="1" applyFill="1" applyBorder="1" applyAlignment="1">
      <alignment horizontal="center"/>
    </xf>
    <xf numFmtId="3" fontId="0" fillId="9" borderId="75" xfId="0" applyNumberFormat="1" applyFill="1" applyBorder="1"/>
    <xf numFmtId="3" fontId="1" fillId="9" borderId="70" xfId="0" applyNumberFormat="1" applyFont="1" applyFill="1" applyBorder="1"/>
    <xf numFmtId="3" fontId="0" fillId="9" borderId="71" xfId="0" applyNumberFormat="1" applyFill="1" applyBorder="1"/>
    <xf numFmtId="3" fontId="0" fillId="9" borderId="46" xfId="0" applyNumberFormat="1" applyFill="1" applyBorder="1" applyAlignment="1">
      <alignment horizontal="center"/>
    </xf>
    <xf numFmtId="3" fontId="1" fillId="3" borderId="49" xfId="0" applyNumberFormat="1" applyFont="1" applyFill="1" applyBorder="1"/>
    <xf numFmtId="3" fontId="0" fillId="3" borderId="44" xfId="0" applyNumberFormat="1" applyFill="1" applyBorder="1"/>
    <xf numFmtId="3" fontId="1" fillId="3" borderId="74" xfId="0" applyNumberFormat="1" applyFont="1" applyFill="1" applyBorder="1" applyAlignment="1">
      <alignment horizontal="center" vertical="center"/>
    </xf>
    <xf numFmtId="3" fontId="5" fillId="9" borderId="36" xfId="0" applyNumberFormat="1" applyFont="1" applyFill="1" applyBorder="1"/>
    <xf numFmtId="3" fontId="0" fillId="9" borderId="35" xfId="0" applyNumberFormat="1" applyFill="1" applyBorder="1"/>
    <xf numFmtId="3" fontId="0" fillId="9" borderId="55" xfId="0" applyNumberFormat="1" applyFill="1" applyBorder="1"/>
    <xf numFmtId="0" fontId="0" fillId="11" borderId="20" xfId="0" applyFill="1" applyBorder="1" applyAlignment="1">
      <alignment horizontal="left" vertical="center"/>
    </xf>
    <xf numFmtId="3" fontId="0" fillId="9" borderId="14" xfId="0" applyNumberFormat="1" applyFill="1" applyBorder="1" applyAlignment="1">
      <alignment horizontal="left"/>
    </xf>
    <xf numFmtId="0" fontId="0" fillId="9" borderId="0" xfId="0" applyFill="1"/>
    <xf numFmtId="0" fontId="0" fillId="11" borderId="0" xfId="0" applyFill="1" applyAlignment="1">
      <alignment horizontal="left" vertical="center"/>
    </xf>
    <xf numFmtId="0" fontId="6" fillId="10" borderId="3" xfId="0" applyFont="1" applyFill="1" applyBorder="1" applyAlignment="1">
      <alignment horizontal="center" vertical="top"/>
    </xf>
    <xf numFmtId="0" fontId="1" fillId="0" borderId="56" xfId="0" applyFont="1" applyBorder="1"/>
    <xf numFmtId="0" fontId="14" fillId="0" borderId="57" xfId="0" applyFont="1" applyBorder="1"/>
    <xf numFmtId="0" fontId="27" fillId="0" borderId="0" xfId="5" applyFont="1" applyBorder="1"/>
    <xf numFmtId="0" fontId="27" fillId="0" borderId="0" xfId="5" applyFont="1"/>
    <xf numFmtId="0" fontId="0" fillId="7" borderId="20" xfId="0" applyFill="1" applyBorder="1" applyAlignment="1">
      <alignment horizontal="center"/>
    </xf>
    <xf numFmtId="0" fontId="0" fillId="0" borderId="42" xfId="0" applyBorder="1"/>
    <xf numFmtId="0" fontId="0" fillId="7" borderId="22" xfId="0" applyFill="1" applyBorder="1" applyAlignment="1">
      <alignment horizontal="center"/>
    </xf>
    <xf numFmtId="0" fontId="0" fillId="0" borderId="40" xfId="0" applyBorder="1"/>
    <xf numFmtId="0" fontId="0" fillId="10" borderId="38" xfId="0" applyFill="1" applyBorder="1" applyAlignment="1">
      <alignment horizontal="right"/>
    </xf>
    <xf numFmtId="167" fontId="1" fillId="9" borderId="62" xfId="0" applyNumberFormat="1" applyFont="1" applyFill="1" applyBorder="1" applyAlignment="1">
      <alignment horizontal="center" vertical="center"/>
    </xf>
    <xf numFmtId="167" fontId="1" fillId="9" borderId="37" xfId="0" applyNumberFormat="1" applyFont="1" applyFill="1" applyBorder="1" applyAlignment="1">
      <alignment horizontal="center" vertical="center"/>
    </xf>
    <xf numFmtId="167" fontId="1" fillId="9" borderId="63" xfId="0" applyNumberFormat="1" applyFont="1" applyFill="1" applyBorder="1" applyAlignment="1">
      <alignment horizontal="center" vertical="center"/>
    </xf>
    <xf numFmtId="167" fontId="1" fillId="10" borderId="62" xfId="0" applyNumberFormat="1" applyFont="1" applyFill="1" applyBorder="1" applyAlignment="1">
      <alignment horizontal="center" vertical="center"/>
    </xf>
    <xf numFmtId="167" fontId="1" fillId="10" borderId="37" xfId="0" applyNumberFormat="1" applyFont="1" applyFill="1" applyBorder="1" applyAlignment="1">
      <alignment horizontal="center" vertical="center"/>
    </xf>
    <xf numFmtId="167" fontId="1" fillId="10" borderId="63" xfId="0" applyNumberFormat="1" applyFont="1" applyFill="1" applyBorder="1" applyAlignment="1">
      <alignment horizontal="center" vertical="center"/>
    </xf>
    <xf numFmtId="167" fontId="1" fillId="3" borderId="62" xfId="0" applyNumberFormat="1" applyFont="1" applyFill="1" applyBorder="1" applyAlignment="1">
      <alignment horizontal="center" vertical="center"/>
    </xf>
    <xf numFmtId="167" fontId="1" fillId="3" borderId="37" xfId="0" applyNumberFormat="1" applyFont="1" applyFill="1" applyBorder="1" applyAlignment="1">
      <alignment horizontal="center" vertical="center"/>
    </xf>
    <xf numFmtId="167" fontId="1" fillId="3" borderId="63" xfId="0" applyNumberFormat="1" applyFont="1" applyFill="1" applyBorder="1" applyAlignment="1">
      <alignment horizontal="center" vertical="center"/>
    </xf>
    <xf numFmtId="3" fontId="1" fillId="9" borderId="77" xfId="0" applyNumberFormat="1" applyFont="1" applyFill="1" applyBorder="1" applyAlignment="1">
      <alignment horizontal="right"/>
    </xf>
    <xf numFmtId="4" fontId="14" fillId="11" borderId="6" xfId="0" applyNumberFormat="1" applyFont="1" applyFill="1" applyBorder="1" applyAlignment="1">
      <alignment horizontal="center" vertical="center"/>
    </xf>
    <xf numFmtId="0" fontId="25" fillId="0" borderId="21" xfId="0" applyFont="1" applyBorder="1" applyAlignment="1">
      <alignment vertical="center"/>
    </xf>
    <xf numFmtId="0" fontId="25" fillId="0" borderId="15" xfId="0" applyFont="1" applyBorder="1" applyAlignment="1">
      <alignment vertical="center"/>
    </xf>
    <xf numFmtId="0" fontId="1" fillId="7" borderId="0" xfId="0" applyFont="1" applyFill="1"/>
    <xf numFmtId="3" fontId="0" fillId="11" borderId="78" xfId="0" applyNumberFormat="1" applyFill="1" applyBorder="1"/>
    <xf numFmtId="3" fontId="0" fillId="11" borderId="61" xfId="0" applyNumberFormat="1" applyFill="1" applyBorder="1" applyAlignment="1">
      <alignment horizontal="center"/>
    </xf>
    <xf numFmtId="3" fontId="0" fillId="11" borderId="15" xfId="0" applyNumberFormat="1" applyFill="1" applyBorder="1" applyAlignment="1">
      <alignment horizontal="center"/>
    </xf>
    <xf numFmtId="3" fontId="0" fillId="11" borderId="79" xfId="0" applyNumberFormat="1" applyFill="1" applyBorder="1"/>
    <xf numFmtId="3" fontId="0" fillId="11" borderId="75" xfId="0" applyNumberFormat="1" applyFill="1" applyBorder="1"/>
    <xf numFmtId="167" fontId="1" fillId="9" borderId="26" xfId="0" applyNumberFormat="1" applyFont="1" applyFill="1" applyBorder="1" applyAlignment="1">
      <alignment horizontal="center" vertical="center"/>
    </xf>
    <xf numFmtId="3" fontId="1" fillId="9" borderId="6" xfId="0" applyNumberFormat="1" applyFont="1" applyFill="1" applyBorder="1"/>
    <xf numFmtId="3" fontId="1" fillId="9" borderId="28" xfId="0" applyNumberFormat="1" applyFont="1" applyFill="1" applyBorder="1"/>
    <xf numFmtId="3" fontId="1" fillId="9" borderId="43" xfId="0" applyNumberFormat="1" applyFont="1" applyFill="1" applyBorder="1" applyAlignment="1">
      <alignment horizontal="center" vertical="center"/>
    </xf>
    <xf numFmtId="3" fontId="0" fillId="11" borderId="22" xfId="0" applyNumberFormat="1" applyFill="1" applyBorder="1"/>
    <xf numFmtId="3" fontId="0" fillId="11" borderId="28" xfId="0" applyNumberFormat="1" applyFill="1" applyBorder="1"/>
    <xf numFmtId="167" fontId="1" fillId="9" borderId="80" xfId="0" applyNumberFormat="1" applyFont="1" applyFill="1" applyBorder="1" applyAlignment="1">
      <alignment horizontal="center" vertical="center"/>
    </xf>
    <xf numFmtId="167" fontId="1" fillId="9" borderId="81" xfId="0" applyNumberFormat="1" applyFont="1" applyFill="1" applyBorder="1" applyAlignment="1">
      <alignment horizontal="center" vertical="center"/>
    </xf>
    <xf numFmtId="167" fontId="1" fillId="9" borderId="82" xfId="0" applyNumberFormat="1" applyFont="1" applyFill="1" applyBorder="1" applyAlignment="1">
      <alignment horizontal="center" vertical="center"/>
    </xf>
    <xf numFmtId="3" fontId="0" fillId="11" borderId="5" xfId="0" applyNumberFormat="1" applyFill="1" applyBorder="1" applyAlignment="1">
      <alignment horizontal="center"/>
    </xf>
    <xf numFmtId="3" fontId="0" fillId="11" borderId="26" xfId="0" applyNumberFormat="1" applyFill="1" applyBorder="1" applyAlignment="1">
      <alignment horizontal="center" vertical="center"/>
    </xf>
    <xf numFmtId="3" fontId="0" fillId="11" borderId="43" xfId="0" applyNumberFormat="1" applyFill="1" applyBorder="1" applyAlignment="1">
      <alignment horizontal="center"/>
    </xf>
    <xf numFmtId="3" fontId="0" fillId="11" borderId="11" xfId="0" applyNumberFormat="1" applyFill="1" applyBorder="1" applyAlignment="1">
      <alignment horizontal="center"/>
    </xf>
    <xf numFmtId="3" fontId="0" fillId="11" borderId="4" xfId="0" applyNumberFormat="1" applyFill="1" applyBorder="1" applyAlignment="1">
      <alignment horizontal="center"/>
    </xf>
    <xf numFmtId="3" fontId="0" fillId="11" borderId="5" xfId="0" applyNumberFormat="1" applyFill="1" applyBorder="1" applyAlignment="1">
      <alignment horizontal="center" vertical="center"/>
    </xf>
    <xf numFmtId="3" fontId="0" fillId="11" borderId="10" xfId="0" applyNumberFormat="1" applyFill="1" applyBorder="1" applyAlignment="1">
      <alignment horizontal="center"/>
    </xf>
    <xf numFmtId="1" fontId="0" fillId="6" borderId="25" xfId="0" applyNumberFormat="1" applyFill="1" applyBorder="1" applyAlignment="1" applyProtection="1">
      <alignment horizontal="center"/>
      <protection locked="0" hidden="1"/>
    </xf>
    <xf numFmtId="0" fontId="0" fillId="6" borderId="25" xfId="0" applyFill="1" applyBorder="1" applyAlignment="1" applyProtection="1">
      <alignment horizontal="center"/>
      <protection locked="0" hidden="1"/>
    </xf>
    <xf numFmtId="0" fontId="0" fillId="0" borderId="0" xfId="0" quotePrefix="1"/>
    <xf numFmtId="0" fontId="0" fillId="2" borderId="73" xfId="0" applyFill="1" applyBorder="1" applyAlignment="1">
      <alignment horizontal="left"/>
    </xf>
    <xf numFmtId="0" fontId="0" fillId="2" borderId="72" xfId="0" applyFill="1" applyBorder="1"/>
    <xf numFmtId="0" fontId="0" fillId="11" borderId="73" xfId="0" applyFill="1" applyBorder="1"/>
    <xf numFmtId="0" fontId="0" fillId="11" borderId="72" xfId="0" applyFill="1" applyBorder="1"/>
    <xf numFmtId="0" fontId="0" fillId="2" borderId="73" xfId="0" applyFill="1" applyBorder="1"/>
    <xf numFmtId="0" fontId="0" fillId="7" borderId="57" xfId="0" applyFill="1" applyBorder="1"/>
    <xf numFmtId="3" fontId="1" fillId="10" borderId="18" xfId="0" applyNumberFormat="1" applyFont="1" applyFill="1" applyBorder="1" applyAlignment="1">
      <alignment horizontal="right"/>
    </xf>
    <xf numFmtId="0" fontId="5" fillId="13" borderId="45" xfId="0" applyFont="1" applyFill="1" applyBorder="1"/>
    <xf numFmtId="0" fontId="4" fillId="13" borderId="46" xfId="0" applyFont="1" applyFill="1" applyBorder="1" applyAlignment="1">
      <alignment horizontal="left" indent="1"/>
    </xf>
    <xf numFmtId="0" fontId="1" fillId="13" borderId="46" xfId="0" applyFont="1" applyFill="1" applyBorder="1" applyAlignment="1">
      <alignment horizontal="center" wrapText="1"/>
    </xf>
    <xf numFmtId="0" fontId="1" fillId="13" borderId="46" xfId="0" applyFont="1" applyFill="1" applyBorder="1"/>
    <xf numFmtId="0" fontId="1" fillId="13" borderId="46" xfId="0" applyFont="1" applyFill="1" applyBorder="1" applyAlignment="1">
      <alignment horizontal="center"/>
    </xf>
    <xf numFmtId="3" fontId="1" fillId="13" borderId="47" xfId="0" applyNumberFormat="1" applyFont="1" applyFill="1" applyBorder="1" applyAlignment="1">
      <alignment horizontal="right"/>
    </xf>
    <xf numFmtId="3" fontId="0" fillId="13" borderId="48" xfId="0" applyNumberFormat="1" applyFill="1" applyBorder="1" applyAlignment="1">
      <alignment horizontal="center" vertical="center"/>
    </xf>
    <xf numFmtId="3" fontId="0" fillId="13" borderId="54" xfId="0" applyNumberFormat="1" applyFill="1" applyBorder="1" applyAlignment="1">
      <alignment horizontal="center" vertical="center"/>
    </xf>
    <xf numFmtId="3" fontId="1" fillId="13" borderId="47" xfId="0" applyNumberFormat="1" applyFont="1" applyFill="1" applyBorder="1"/>
    <xf numFmtId="3" fontId="1" fillId="13" borderId="50" xfId="0" applyNumberFormat="1" applyFont="1" applyFill="1" applyBorder="1"/>
    <xf numFmtId="3" fontId="0" fillId="13" borderId="59" xfId="0" applyNumberFormat="1" applyFill="1" applyBorder="1" applyAlignment="1">
      <alignment horizontal="center" vertical="center"/>
    </xf>
    <xf numFmtId="0" fontId="6" fillId="13" borderId="24" xfId="0" applyFont="1" applyFill="1" applyBorder="1" applyAlignment="1">
      <alignment horizontal="center" vertical="top"/>
    </xf>
    <xf numFmtId="0" fontId="6" fillId="13" borderId="3" xfId="0" applyFont="1" applyFill="1" applyBorder="1" applyAlignment="1">
      <alignment horizontal="center" vertical="top"/>
    </xf>
    <xf numFmtId="0" fontId="18" fillId="13" borderId="24" xfId="0" applyFont="1" applyFill="1" applyBorder="1" applyAlignment="1">
      <alignment vertical="top"/>
    </xf>
    <xf numFmtId="0" fontId="4" fillId="13" borderId="1" xfId="0" applyFont="1" applyFill="1" applyBorder="1"/>
    <xf numFmtId="0" fontId="4" fillId="13" borderId="2" xfId="0" applyFont="1" applyFill="1" applyBorder="1" applyAlignment="1">
      <alignment horizontal="left" indent="1"/>
    </xf>
    <xf numFmtId="0" fontId="1" fillId="13" borderId="2" xfId="0" applyFont="1" applyFill="1" applyBorder="1" applyAlignment="1">
      <alignment horizontal="center" wrapText="1"/>
    </xf>
    <xf numFmtId="0" fontId="1" fillId="13" borderId="2" xfId="0" applyFont="1" applyFill="1" applyBorder="1"/>
    <xf numFmtId="0" fontId="1" fillId="13" borderId="2" xfId="0" applyFont="1" applyFill="1" applyBorder="1" applyAlignment="1">
      <alignment horizontal="center"/>
    </xf>
    <xf numFmtId="0" fontId="1" fillId="13" borderId="38" xfId="0" applyFont="1" applyFill="1" applyBorder="1" applyAlignment="1">
      <alignment horizontal="center" vertical="center"/>
    </xf>
    <xf numFmtId="3" fontId="1" fillId="13" borderId="38" xfId="0" applyNumberFormat="1" applyFont="1" applyFill="1" applyBorder="1"/>
    <xf numFmtId="3" fontId="1" fillId="13" borderId="44" xfId="0" applyNumberFormat="1" applyFont="1" applyFill="1" applyBorder="1"/>
    <xf numFmtId="0" fontId="0" fillId="13" borderId="3" xfId="0" applyFill="1" applyBorder="1" applyAlignment="1">
      <alignment vertical="center"/>
    </xf>
    <xf numFmtId="0" fontId="0" fillId="13" borderId="0" xfId="0" applyFill="1" applyAlignment="1">
      <alignment vertical="center"/>
    </xf>
    <xf numFmtId="0" fontId="0" fillId="13" borderId="0" xfId="0" applyFill="1" applyAlignment="1">
      <alignment vertical="center" wrapText="1"/>
    </xf>
    <xf numFmtId="0" fontId="0" fillId="13" borderId="0" xfId="0" applyFill="1" applyAlignment="1">
      <alignment horizontal="center" vertical="center"/>
    </xf>
    <xf numFmtId="0" fontId="0" fillId="13" borderId="13" xfId="0" applyFill="1" applyBorder="1"/>
    <xf numFmtId="0" fontId="0" fillId="13" borderId="20" xfId="0" applyFill="1" applyBorder="1" applyAlignment="1">
      <alignment horizontal="center" vertical="center"/>
    </xf>
    <xf numFmtId="0" fontId="0" fillId="13" borderId="13" xfId="0" applyFill="1" applyBorder="1" applyAlignment="1">
      <alignment horizontal="center" vertical="center"/>
    </xf>
    <xf numFmtId="0" fontId="0" fillId="13" borderId="9" xfId="0" applyFill="1" applyBorder="1" applyAlignment="1">
      <alignment horizontal="center" vertical="center"/>
    </xf>
    <xf numFmtId="0" fontId="0" fillId="13" borderId="3" xfId="0" applyFill="1" applyBorder="1" applyAlignment="1">
      <alignment horizontal="center" vertical="center"/>
    </xf>
    <xf numFmtId="0" fontId="13" fillId="13" borderId="4" xfId="0" applyFont="1" applyFill="1" applyBorder="1" applyAlignment="1">
      <alignment vertical="center"/>
    </xf>
    <xf numFmtId="0" fontId="13" fillId="13" borderId="5" xfId="0" applyFont="1" applyFill="1" applyBorder="1" applyAlignment="1">
      <alignment vertical="center"/>
    </xf>
    <xf numFmtId="0" fontId="13" fillId="13" borderId="5" xfId="0" applyFont="1" applyFill="1" applyBorder="1" applyAlignment="1">
      <alignment vertical="center" wrapText="1"/>
    </xf>
    <xf numFmtId="0" fontId="13" fillId="13" borderId="5" xfId="0" applyFont="1" applyFill="1" applyBorder="1" applyAlignment="1">
      <alignment horizontal="center" vertical="center"/>
    </xf>
    <xf numFmtId="0" fontId="14" fillId="13" borderId="18" xfId="0" applyFont="1" applyFill="1" applyBorder="1"/>
    <xf numFmtId="14" fontId="14" fillId="13" borderId="5" xfId="0" applyNumberFormat="1" applyFont="1" applyFill="1" applyBorder="1" applyAlignment="1">
      <alignment horizontal="center" vertical="center"/>
    </xf>
    <xf numFmtId="14" fontId="14" fillId="13" borderId="23" xfId="0" applyNumberFormat="1" applyFont="1" applyFill="1" applyBorder="1" applyAlignment="1">
      <alignment horizontal="center" vertical="center"/>
    </xf>
    <xf numFmtId="14" fontId="14" fillId="13" borderId="10" xfId="0" applyNumberFormat="1" applyFont="1" applyFill="1" applyBorder="1" applyAlignment="1">
      <alignment horizontal="center" vertical="center"/>
    </xf>
    <xf numFmtId="14" fontId="14" fillId="13" borderId="4" xfId="0" applyNumberFormat="1" applyFont="1" applyFill="1" applyBorder="1" applyAlignment="1">
      <alignment horizontal="center" vertical="center"/>
    </xf>
    <xf numFmtId="0" fontId="4" fillId="13" borderId="2" xfId="0" applyFont="1" applyFill="1" applyBorder="1" applyAlignment="1">
      <alignment horizontal="centerContinuous" vertical="center"/>
    </xf>
    <xf numFmtId="0" fontId="5" fillId="13" borderId="2" xfId="0" quotePrefix="1" applyFont="1" applyFill="1" applyBorder="1" applyAlignment="1">
      <alignment horizontal="right" vertical="center"/>
    </xf>
    <xf numFmtId="167" fontId="5" fillId="13" borderId="19" xfId="0" applyNumberFormat="1" applyFont="1" applyFill="1" applyBorder="1" applyAlignment="1">
      <alignment horizontal="centerContinuous" vertical="center"/>
    </xf>
    <xf numFmtId="167" fontId="5" fillId="13" borderId="2" xfId="0" applyNumberFormat="1" applyFont="1" applyFill="1" applyBorder="1" applyAlignment="1">
      <alignment horizontal="centerContinuous" vertical="center"/>
    </xf>
    <xf numFmtId="2" fontId="5" fillId="13" borderId="12" xfId="0" applyNumberFormat="1" applyFont="1" applyFill="1" applyBorder="1" applyAlignment="1">
      <alignment horizontal="centerContinuous" vertical="center"/>
    </xf>
    <xf numFmtId="167" fontId="21" fillId="13" borderId="12" xfId="0" applyNumberFormat="1" applyFont="1" applyFill="1" applyBorder="1" applyAlignment="1">
      <alignment horizontal="centerContinuous" vertical="center"/>
    </xf>
    <xf numFmtId="167" fontId="5" fillId="13" borderId="12" xfId="0" applyNumberFormat="1" applyFont="1" applyFill="1" applyBorder="1" applyAlignment="1">
      <alignment horizontal="centerContinuous" vertical="center"/>
    </xf>
    <xf numFmtId="0" fontId="5" fillId="13" borderId="1" xfId="0" applyFont="1" applyFill="1" applyBorder="1" applyAlignment="1">
      <alignment horizontal="centerContinuous" vertical="center"/>
    </xf>
    <xf numFmtId="0" fontId="5" fillId="13" borderId="2" xfId="0" applyFont="1" applyFill="1" applyBorder="1" applyAlignment="1">
      <alignment horizontal="centerContinuous" vertical="center"/>
    </xf>
    <xf numFmtId="3" fontId="0" fillId="13" borderId="8" xfId="0" applyNumberFormat="1" applyFill="1" applyBorder="1" applyAlignment="1">
      <alignment horizontal="centerContinuous"/>
    </xf>
    <xf numFmtId="0" fontId="5" fillId="13" borderId="1" xfId="0" applyFont="1" applyFill="1" applyBorder="1" applyAlignment="1">
      <alignment horizontal="left" vertical="center"/>
    </xf>
    <xf numFmtId="0" fontId="5" fillId="13" borderId="2" xfId="0" applyFont="1" applyFill="1" applyBorder="1" applyAlignment="1">
      <alignment horizontal="right" vertical="center"/>
    </xf>
    <xf numFmtId="0" fontId="0" fillId="14" borderId="15" xfId="0" applyFill="1" applyBorder="1" applyAlignment="1">
      <alignment vertical="center" wrapText="1"/>
    </xf>
    <xf numFmtId="0" fontId="0" fillId="14" borderId="15" xfId="0" applyFill="1" applyBorder="1" applyAlignment="1">
      <alignment vertical="center"/>
    </xf>
    <xf numFmtId="0" fontId="0" fillId="14" borderId="15" xfId="0" applyFill="1" applyBorder="1" applyAlignment="1">
      <alignment horizontal="center" vertical="center"/>
    </xf>
    <xf numFmtId="3" fontId="0" fillId="14" borderId="16" xfId="0" applyNumberFormat="1" applyFill="1" applyBorder="1" applyAlignment="1">
      <alignment horizontal="right"/>
    </xf>
    <xf numFmtId="3" fontId="0" fillId="14" borderId="20" xfId="0" applyNumberFormat="1" applyFill="1" applyBorder="1" applyAlignment="1">
      <alignment horizontal="center" vertical="center"/>
    </xf>
    <xf numFmtId="3" fontId="0" fillId="14" borderId="0" xfId="0" applyNumberFormat="1" applyFill="1" applyAlignment="1">
      <alignment horizontal="center" vertical="center"/>
    </xf>
    <xf numFmtId="3" fontId="0" fillId="14" borderId="13" xfId="0" applyNumberFormat="1" applyFill="1" applyBorder="1"/>
    <xf numFmtId="0" fontId="0" fillId="14" borderId="3" xfId="0" applyFill="1" applyBorder="1" applyAlignment="1">
      <alignment horizontal="center" vertical="center"/>
    </xf>
    <xf numFmtId="0" fontId="0" fillId="14" borderId="0" xfId="0" applyFill="1" applyAlignment="1">
      <alignment horizontal="center" vertical="center"/>
    </xf>
    <xf numFmtId="3" fontId="0" fillId="14" borderId="9" xfId="0" applyNumberFormat="1" applyFill="1" applyBorder="1"/>
    <xf numFmtId="0" fontId="1" fillId="14" borderId="0" xfId="0" applyFont="1" applyFill="1" applyAlignment="1">
      <alignment horizontal="center" vertical="center"/>
    </xf>
    <xf numFmtId="3" fontId="1" fillId="14" borderId="13" xfId="0" applyNumberFormat="1" applyFont="1" applyFill="1" applyBorder="1" applyAlignment="1">
      <alignment horizontal="right"/>
    </xf>
    <xf numFmtId="0" fontId="1" fillId="14" borderId="0" xfId="0" applyFont="1" applyFill="1" applyAlignment="1">
      <alignment vertical="center" wrapText="1"/>
    </xf>
    <xf numFmtId="0" fontId="1" fillId="14" borderId="0" xfId="0" applyFont="1" applyFill="1" applyAlignment="1">
      <alignment vertical="center"/>
    </xf>
    <xf numFmtId="9" fontId="0" fillId="14" borderId="0" xfId="4" applyFont="1" applyFill="1" applyBorder="1" applyAlignment="1" applyProtection="1">
      <alignment horizontal="center" vertical="center"/>
    </xf>
    <xf numFmtId="3" fontId="0" fillId="14" borderId="13" xfId="0" applyNumberFormat="1" applyFill="1" applyBorder="1" applyAlignment="1">
      <alignment wrapText="1"/>
    </xf>
    <xf numFmtId="0" fontId="1" fillId="14" borderId="3" xfId="0" applyFont="1" applyFill="1" applyBorder="1" applyAlignment="1">
      <alignment horizontal="center" vertical="center"/>
    </xf>
    <xf numFmtId="0" fontId="1" fillId="14" borderId="7" xfId="0" applyFont="1" applyFill="1" applyBorder="1" applyAlignment="1">
      <alignment vertical="center" wrapText="1"/>
    </xf>
    <xf numFmtId="0" fontId="1" fillId="14" borderId="7" xfId="0" applyFont="1" applyFill="1" applyBorder="1" applyAlignment="1">
      <alignment vertical="center"/>
    </xf>
    <xf numFmtId="0" fontId="1" fillId="14" borderId="7" xfId="0" applyFont="1" applyFill="1" applyBorder="1" applyAlignment="1">
      <alignment horizontal="center" vertical="center"/>
    </xf>
    <xf numFmtId="3" fontId="1" fillId="14" borderId="17" xfId="0" applyNumberFormat="1" applyFont="1" applyFill="1" applyBorder="1" applyAlignment="1">
      <alignment horizontal="right"/>
    </xf>
    <xf numFmtId="9" fontId="0" fillId="14" borderId="0" xfId="4" applyFont="1" applyFill="1" applyAlignment="1">
      <alignment horizontal="center"/>
    </xf>
    <xf numFmtId="3" fontId="0" fillId="14" borderId="17" xfId="0" applyNumberFormat="1" applyFill="1" applyBorder="1"/>
    <xf numFmtId="9" fontId="0" fillId="14" borderId="7" xfId="4" applyFont="1" applyFill="1" applyBorder="1" applyAlignment="1">
      <alignment horizontal="center"/>
    </xf>
    <xf numFmtId="0" fontId="4" fillId="14" borderId="1" xfId="0" applyFont="1" applyFill="1" applyBorder="1" applyAlignment="1">
      <alignment vertical="top"/>
    </xf>
    <xf numFmtId="0" fontId="4" fillId="14" borderId="38" xfId="0" applyFont="1" applyFill="1" applyBorder="1" applyAlignment="1">
      <alignment horizontal="left" indent="1"/>
    </xf>
    <xf numFmtId="0" fontId="0" fillId="14" borderId="38" xfId="0" applyFill="1" applyBorder="1" applyAlignment="1">
      <alignment horizontal="center" wrapText="1"/>
    </xf>
    <xf numFmtId="0" fontId="0" fillId="14" borderId="38" xfId="0" applyFill="1" applyBorder="1"/>
    <xf numFmtId="0" fontId="0" fillId="14" borderId="38" xfId="0" applyFill="1" applyBorder="1" applyAlignment="1">
      <alignment horizontal="center"/>
    </xf>
    <xf numFmtId="0" fontId="1" fillId="14" borderId="38" xfId="0" applyFont="1" applyFill="1" applyBorder="1" applyAlignment="1">
      <alignment horizontal="left" vertical="center"/>
    </xf>
    <xf numFmtId="0" fontId="17" fillId="14" borderId="38" xfId="0" applyFont="1" applyFill="1" applyBorder="1" applyAlignment="1">
      <alignment horizontal="right" vertical="center"/>
    </xf>
    <xf numFmtId="0" fontId="0" fillId="14" borderId="38" xfId="0" applyFill="1" applyBorder="1" applyAlignment="1">
      <alignment horizontal="center" vertical="center"/>
    </xf>
    <xf numFmtId="3" fontId="0" fillId="14" borderId="38" xfId="0" applyNumberFormat="1" applyFill="1" applyBorder="1"/>
    <xf numFmtId="3" fontId="0" fillId="14" borderId="44" xfId="0" applyNumberFormat="1" applyFill="1" applyBorder="1"/>
    <xf numFmtId="0" fontId="6" fillId="14" borderId="24" xfId="0" applyFont="1" applyFill="1" applyBorder="1" applyAlignment="1">
      <alignment vertical="top"/>
    </xf>
    <xf numFmtId="0" fontId="0" fillId="14" borderId="3" xfId="0" applyFill="1" applyBorder="1" applyAlignment="1">
      <alignment horizontal="left" indent="1"/>
    </xf>
    <xf numFmtId="0" fontId="5" fillId="14" borderId="3" xfId="0" applyFont="1" applyFill="1" applyBorder="1" applyAlignment="1">
      <alignment horizontal="right"/>
    </xf>
    <xf numFmtId="0" fontId="5" fillId="14" borderId="24" xfId="0" applyFont="1" applyFill="1" applyBorder="1" applyAlignment="1">
      <alignment horizontal="right"/>
    </xf>
    <xf numFmtId="0" fontId="14" fillId="14" borderId="3" xfId="0" applyFont="1" applyFill="1" applyBorder="1" applyAlignment="1">
      <alignment horizontal="left" indent="1"/>
    </xf>
    <xf numFmtId="0" fontId="5" fillId="14" borderId="3" xfId="0" applyFont="1" applyFill="1" applyBorder="1"/>
    <xf numFmtId="0" fontId="0" fillId="14" borderId="24" xfId="0" applyFill="1" applyBorder="1" applyAlignment="1">
      <alignment horizontal="left" indent="1"/>
    </xf>
    <xf numFmtId="0" fontId="5" fillId="14" borderId="4" xfId="0" applyFont="1" applyFill="1" applyBorder="1"/>
    <xf numFmtId="0" fontId="5" fillId="14" borderId="30" xfId="0" applyFont="1" applyFill="1" applyBorder="1"/>
    <xf numFmtId="0" fontId="5" fillId="14" borderId="30" xfId="0" applyFont="1" applyFill="1" applyBorder="1" applyAlignment="1">
      <alignment wrapText="1"/>
    </xf>
    <xf numFmtId="0" fontId="5" fillId="14" borderId="30" xfId="0" applyFont="1" applyFill="1" applyBorder="1" applyAlignment="1">
      <alignment horizontal="center"/>
    </xf>
    <xf numFmtId="0" fontId="5" fillId="14" borderId="30" xfId="0" applyFont="1" applyFill="1" applyBorder="1" applyAlignment="1">
      <alignment horizontal="right"/>
    </xf>
    <xf numFmtId="3" fontId="0" fillId="14" borderId="29" xfId="0" applyNumberFormat="1" applyFill="1" applyBorder="1" applyAlignment="1">
      <alignment horizontal="center" vertical="center"/>
    </xf>
    <xf numFmtId="3" fontId="0" fillId="14" borderId="30" xfId="0" applyNumberFormat="1" applyFill="1" applyBorder="1" applyAlignment="1">
      <alignment horizontal="center" vertical="center"/>
    </xf>
    <xf numFmtId="3" fontId="0" fillId="14" borderId="31" xfId="0" applyNumberFormat="1" applyFill="1" applyBorder="1"/>
    <xf numFmtId="3" fontId="0" fillId="14" borderId="32" xfId="0" applyNumberFormat="1" applyFill="1" applyBorder="1" applyAlignment="1">
      <alignment horizontal="center" vertical="center"/>
    </xf>
    <xf numFmtId="3" fontId="0" fillId="14" borderId="33" xfId="0" applyNumberFormat="1" applyFill="1" applyBorder="1"/>
    <xf numFmtId="0" fontId="5" fillId="14" borderId="30" xfId="0" applyFont="1" applyFill="1" applyBorder="1" applyAlignment="1">
      <alignment vertical="top"/>
    </xf>
    <xf numFmtId="0" fontId="5" fillId="14" borderId="30" xfId="0" applyFont="1" applyFill="1" applyBorder="1" applyAlignment="1">
      <alignment vertical="top" wrapText="1"/>
    </xf>
    <xf numFmtId="4" fontId="0" fillId="14" borderId="32" xfId="0" applyNumberFormat="1" applyFill="1" applyBorder="1" applyAlignment="1">
      <alignment horizontal="center" vertical="center"/>
    </xf>
    <xf numFmtId="4" fontId="0" fillId="14" borderId="30" xfId="0" applyNumberFormat="1" applyFill="1" applyBorder="1" applyAlignment="1">
      <alignment horizontal="center" vertical="center"/>
    </xf>
    <xf numFmtId="0" fontId="4" fillId="14" borderId="38" xfId="0" applyFont="1" applyFill="1" applyBorder="1" applyAlignment="1">
      <alignment horizontal="left" vertical="top"/>
    </xf>
    <xf numFmtId="0" fontId="0" fillId="14" borderId="38" xfId="0" applyFill="1" applyBorder="1" applyAlignment="1">
      <alignment horizontal="center" vertical="top" wrapText="1"/>
    </xf>
    <xf numFmtId="0" fontId="1" fillId="7" borderId="0" xfId="0" applyFont="1" applyFill="1" applyAlignment="1">
      <alignment horizontal="left"/>
    </xf>
    <xf numFmtId="0" fontId="0" fillId="7" borderId="0" xfId="0" applyFill="1" applyAlignment="1">
      <alignment horizontal="left"/>
    </xf>
    <xf numFmtId="0" fontId="0" fillId="7" borderId="0" xfId="0" applyFill="1" applyAlignment="1">
      <alignment horizontal="center" wrapText="1"/>
    </xf>
    <xf numFmtId="0" fontId="19" fillId="7" borderId="0" xfId="5" applyFill="1"/>
    <xf numFmtId="0" fontId="0" fillId="7" borderId="0" xfId="0" applyFill="1" applyAlignment="1">
      <alignment horizontal="center" vertical="center"/>
    </xf>
    <xf numFmtId="3" fontId="0" fillId="7" borderId="0" xfId="0" applyNumberFormat="1" applyFill="1"/>
    <xf numFmtId="0" fontId="1" fillId="7" borderId="0" xfId="0" applyFont="1" applyFill="1" applyAlignment="1" applyProtection="1">
      <alignment horizontal="left"/>
      <protection hidden="1"/>
    </xf>
    <xf numFmtId="0" fontId="0" fillId="7" borderId="0" xfId="0" applyFill="1" applyAlignment="1">
      <alignment horizontal="center"/>
    </xf>
    <xf numFmtId="0" fontId="0" fillId="7" borderId="0" xfId="0" applyFill="1" applyAlignment="1">
      <alignment horizontal="left" vertical="top"/>
    </xf>
    <xf numFmtId="0" fontId="14" fillId="7" borderId="0" xfId="0" applyFont="1" applyFill="1" applyAlignment="1">
      <alignment horizontal="center" vertical="center"/>
    </xf>
    <xf numFmtId="3" fontId="14" fillId="7" borderId="0" xfId="0" applyNumberFormat="1" applyFont="1" applyFill="1"/>
    <xf numFmtId="9" fontId="1" fillId="7" borderId="0" xfId="0" quotePrefix="1" applyNumberFormat="1" applyFont="1" applyFill="1" applyAlignment="1" applyProtection="1">
      <alignment horizontal="left"/>
      <protection hidden="1"/>
    </xf>
    <xf numFmtId="0" fontId="5" fillId="7" borderId="0" xfId="0" applyFont="1" applyFill="1" applyAlignment="1">
      <alignment horizontal="center" vertical="center" wrapText="1"/>
    </xf>
    <xf numFmtId="0" fontId="0" fillId="7" borderId="5" xfId="0" applyFill="1" applyBorder="1"/>
    <xf numFmtId="3" fontId="1" fillId="13" borderId="49" xfId="0" applyNumberFormat="1" applyFont="1" applyFill="1" applyBorder="1"/>
    <xf numFmtId="3" fontId="0" fillId="13" borderId="44" xfId="0" applyNumberFormat="1" applyFill="1" applyBorder="1"/>
    <xf numFmtId="167" fontId="1" fillId="13" borderId="62" xfId="0" applyNumberFormat="1" applyFont="1" applyFill="1" applyBorder="1" applyAlignment="1">
      <alignment horizontal="center" vertical="center"/>
    </xf>
    <xf numFmtId="167" fontId="1" fillId="13" borderId="37" xfId="0" applyNumberFormat="1" applyFont="1" applyFill="1" applyBorder="1" applyAlignment="1">
      <alignment horizontal="center" vertical="center"/>
    </xf>
    <xf numFmtId="167" fontId="1" fillId="13" borderId="63" xfId="0" applyNumberFormat="1" applyFont="1" applyFill="1" applyBorder="1" applyAlignment="1">
      <alignment horizontal="center" vertical="center"/>
    </xf>
    <xf numFmtId="3" fontId="1" fillId="13" borderId="74" xfId="0" applyNumberFormat="1" applyFont="1" applyFill="1" applyBorder="1" applyAlignment="1">
      <alignment horizontal="center" vertical="center"/>
    </xf>
    <xf numFmtId="3" fontId="0" fillId="14" borderId="6" xfId="0" applyNumberFormat="1" applyFill="1" applyBorder="1" applyAlignment="1">
      <alignment horizontal="center"/>
    </xf>
    <xf numFmtId="3" fontId="0" fillId="14" borderId="7" xfId="0" applyNumberFormat="1" applyFill="1" applyBorder="1" applyAlignment="1">
      <alignment horizontal="center"/>
    </xf>
    <xf numFmtId="3" fontId="0" fillId="14" borderId="72" xfId="0" applyNumberFormat="1" applyFill="1" applyBorder="1"/>
    <xf numFmtId="3" fontId="0" fillId="14" borderId="51" xfId="0" applyNumberFormat="1" applyFill="1" applyBorder="1"/>
    <xf numFmtId="3" fontId="0" fillId="14" borderId="32" xfId="0" applyNumberFormat="1" applyFill="1" applyBorder="1"/>
    <xf numFmtId="9" fontId="0" fillId="14" borderId="33" xfId="4" applyFont="1" applyFill="1" applyBorder="1" applyAlignment="1">
      <alignment horizontal="left"/>
    </xf>
    <xf numFmtId="3" fontId="0" fillId="14" borderId="32" xfId="0" applyNumberFormat="1" applyFill="1" applyBorder="1" applyAlignment="1">
      <alignment horizontal="center"/>
    </xf>
    <xf numFmtId="3" fontId="0" fillId="14" borderId="30" xfId="0" applyNumberFormat="1" applyFill="1" applyBorder="1" applyAlignment="1">
      <alignment horizontal="center"/>
    </xf>
    <xf numFmtId="3" fontId="0" fillId="14" borderId="75" xfId="0" applyNumberFormat="1" applyFill="1" applyBorder="1"/>
    <xf numFmtId="3" fontId="1" fillId="14" borderId="70" xfId="0" applyNumberFormat="1" applyFont="1" applyFill="1" applyBorder="1"/>
    <xf numFmtId="3" fontId="0" fillId="14" borderId="71" xfId="0" applyNumberFormat="1" applyFill="1" applyBorder="1"/>
    <xf numFmtId="3" fontId="0" fillId="14" borderId="46" xfId="0" applyNumberFormat="1" applyFill="1" applyBorder="1" applyAlignment="1">
      <alignment horizontal="center"/>
    </xf>
    <xf numFmtId="3" fontId="1" fillId="14" borderId="77" xfId="0" applyNumberFormat="1" applyFont="1" applyFill="1" applyBorder="1"/>
    <xf numFmtId="0" fontId="5" fillId="15" borderId="36" xfId="0" applyFont="1" applyFill="1" applyBorder="1" applyAlignment="1">
      <alignment horizontal="left" vertical="top"/>
    </xf>
    <xf numFmtId="0" fontId="4" fillId="15" borderId="35" xfId="0" applyFont="1" applyFill="1" applyBorder="1" applyAlignment="1">
      <alignment horizontal="left" indent="1"/>
    </xf>
    <xf numFmtId="0" fontId="1" fillId="15" borderId="35" xfId="0" applyFont="1" applyFill="1" applyBorder="1" applyAlignment="1">
      <alignment horizontal="center" wrapText="1"/>
    </xf>
    <xf numFmtId="0" fontId="1" fillId="15" borderId="35" xfId="0" applyFont="1" applyFill="1" applyBorder="1"/>
    <xf numFmtId="0" fontId="1" fillId="15" borderId="35" xfId="0" applyFont="1" applyFill="1" applyBorder="1" applyAlignment="1">
      <alignment horizontal="center"/>
    </xf>
    <xf numFmtId="3" fontId="1" fillId="15" borderId="52" xfId="0" applyNumberFormat="1" applyFont="1" applyFill="1" applyBorder="1" applyAlignment="1">
      <alignment horizontal="right"/>
    </xf>
    <xf numFmtId="3" fontId="0" fillId="15" borderId="53" xfId="0" applyNumberFormat="1" applyFill="1" applyBorder="1" applyAlignment="1">
      <alignment horizontal="center" vertical="center"/>
    </xf>
    <xf numFmtId="3" fontId="0" fillId="15" borderId="35" xfId="0" applyNumberFormat="1" applyFill="1" applyBorder="1" applyAlignment="1">
      <alignment horizontal="center" vertical="center"/>
    </xf>
    <xf numFmtId="3" fontId="1" fillId="15" borderId="52" xfId="0" applyNumberFormat="1" applyFont="1" applyFill="1" applyBorder="1"/>
    <xf numFmtId="3" fontId="1" fillId="15" borderId="35" xfId="0" applyNumberFormat="1" applyFont="1" applyFill="1" applyBorder="1"/>
    <xf numFmtId="3" fontId="1" fillId="15" borderId="53" xfId="0" applyNumberFormat="1" applyFont="1" applyFill="1" applyBorder="1"/>
    <xf numFmtId="3" fontId="1" fillId="15" borderId="55" xfId="0" applyNumberFormat="1" applyFont="1" applyFill="1" applyBorder="1"/>
    <xf numFmtId="3" fontId="1" fillId="15" borderId="36" xfId="0" applyNumberFormat="1" applyFont="1" applyFill="1" applyBorder="1"/>
    <xf numFmtId="3" fontId="1" fillId="15" borderId="49" xfId="0" applyNumberFormat="1" applyFont="1" applyFill="1" applyBorder="1"/>
    <xf numFmtId="3" fontId="0" fillId="15" borderId="44" xfId="0" applyNumberFormat="1" applyFill="1" applyBorder="1"/>
    <xf numFmtId="167" fontId="1" fillId="15" borderId="62" xfId="0" applyNumberFormat="1" applyFont="1" applyFill="1" applyBorder="1" applyAlignment="1">
      <alignment horizontal="center" vertical="center"/>
    </xf>
    <xf numFmtId="167" fontId="1" fillId="15" borderId="37" xfId="0" applyNumberFormat="1" applyFont="1" applyFill="1" applyBorder="1" applyAlignment="1">
      <alignment horizontal="center" vertical="center"/>
    </xf>
    <xf numFmtId="167" fontId="1" fillId="15" borderId="63" xfId="0" applyNumberFormat="1" applyFont="1" applyFill="1" applyBorder="1" applyAlignment="1">
      <alignment horizontal="center" vertical="center"/>
    </xf>
    <xf numFmtId="3" fontId="1" fillId="15" borderId="74" xfId="0" applyNumberFormat="1" applyFont="1" applyFill="1" applyBorder="1" applyAlignment="1">
      <alignment horizontal="center" vertical="center"/>
    </xf>
    <xf numFmtId="3" fontId="0" fillId="12" borderId="59" xfId="0" applyNumberFormat="1" applyFill="1" applyBorder="1" applyAlignment="1">
      <alignment horizontal="center"/>
    </xf>
    <xf numFmtId="3" fontId="0" fillId="12" borderId="54" xfId="0" applyNumberFormat="1" applyFill="1" applyBorder="1" applyAlignment="1">
      <alignment horizontal="center"/>
    </xf>
    <xf numFmtId="3" fontId="1" fillId="12" borderId="69" xfId="0" applyNumberFormat="1" applyFont="1" applyFill="1" applyBorder="1"/>
    <xf numFmtId="0" fontId="15" fillId="0" borderId="3" xfId="0" applyFont="1" applyBorder="1"/>
    <xf numFmtId="0" fontId="14" fillId="0" borderId="3" xfId="0" applyFont="1" applyBorder="1"/>
    <xf numFmtId="0" fontId="1" fillId="0" borderId="3" xfId="0" applyFont="1" applyBorder="1"/>
    <xf numFmtId="0" fontId="15" fillId="0" borderId="4" xfId="0" applyFont="1" applyBorder="1"/>
    <xf numFmtId="0" fontId="15" fillId="0" borderId="5" xfId="0" applyFont="1" applyBorder="1"/>
    <xf numFmtId="3" fontId="5" fillId="13" borderId="36" xfId="0" applyNumberFormat="1" applyFont="1" applyFill="1" applyBorder="1"/>
    <xf numFmtId="3" fontId="0" fillId="13" borderId="35" xfId="0" applyNumberFormat="1" applyFill="1" applyBorder="1"/>
    <xf numFmtId="3" fontId="0" fillId="13" borderId="55" xfId="0" applyNumberFormat="1" applyFill="1" applyBorder="1"/>
    <xf numFmtId="3" fontId="1" fillId="12" borderId="49" xfId="0" applyNumberFormat="1" applyFont="1" applyFill="1" applyBorder="1"/>
    <xf numFmtId="3" fontId="0" fillId="12" borderId="44" xfId="0" applyNumberFormat="1" applyFill="1" applyBorder="1"/>
    <xf numFmtId="167" fontId="1" fillId="12" borderId="62" xfId="0" applyNumberFormat="1" applyFont="1" applyFill="1" applyBorder="1" applyAlignment="1">
      <alignment horizontal="center" vertical="center"/>
    </xf>
    <xf numFmtId="167" fontId="1" fillId="12" borderId="37" xfId="0" applyNumberFormat="1" applyFont="1" applyFill="1" applyBorder="1" applyAlignment="1">
      <alignment horizontal="center" vertical="center"/>
    </xf>
    <xf numFmtId="167" fontId="1" fillId="12" borderId="63" xfId="0" applyNumberFormat="1" applyFont="1" applyFill="1" applyBorder="1" applyAlignment="1">
      <alignment horizontal="center" vertical="center"/>
    </xf>
    <xf numFmtId="3" fontId="1" fillId="12" borderId="74" xfId="0" applyNumberFormat="1" applyFont="1" applyFill="1" applyBorder="1" applyAlignment="1">
      <alignment horizontal="center" vertical="center"/>
    </xf>
    <xf numFmtId="3" fontId="1" fillId="12" borderId="51" xfId="0" applyNumberFormat="1" applyFont="1" applyFill="1" applyBorder="1"/>
    <xf numFmtId="3" fontId="0" fillId="12" borderId="26" xfId="0" applyNumberFormat="1" applyFill="1" applyBorder="1"/>
    <xf numFmtId="3" fontId="0" fillId="12" borderId="26" xfId="0" applyNumberFormat="1" applyFill="1" applyBorder="1" applyAlignment="1">
      <alignment horizontal="center"/>
    </xf>
    <xf numFmtId="3" fontId="0" fillId="12" borderId="60" xfId="0" applyNumberFormat="1" applyFill="1" applyBorder="1"/>
    <xf numFmtId="3" fontId="1" fillId="12" borderId="38" xfId="0" applyNumberFormat="1" applyFont="1" applyFill="1" applyBorder="1"/>
    <xf numFmtId="0" fontId="14" fillId="9" borderId="22" xfId="0" applyFont="1" applyFill="1" applyBorder="1" applyAlignment="1">
      <alignment horizontal="right" vertical="top"/>
    </xf>
    <xf numFmtId="0" fontId="14" fillId="9" borderId="7" xfId="0" applyFont="1" applyFill="1" applyBorder="1" applyAlignment="1">
      <alignment horizontal="right" vertical="top"/>
    </xf>
    <xf numFmtId="0" fontId="14" fillId="9" borderId="7" xfId="0" applyFont="1" applyFill="1" applyBorder="1" applyAlignment="1">
      <alignment horizontal="right" vertical="top" wrapText="1"/>
    </xf>
    <xf numFmtId="0" fontId="14" fillId="9" borderId="7" xfId="0" applyFont="1" applyFill="1" applyBorder="1" applyAlignment="1">
      <alignment horizontal="right" vertical="center" wrapText="1"/>
    </xf>
    <xf numFmtId="0" fontId="14" fillId="9" borderId="7" xfId="0" applyFont="1" applyFill="1" applyBorder="1" applyAlignment="1">
      <alignment horizontal="right" vertical="center"/>
    </xf>
    <xf numFmtId="0" fontId="14" fillId="9" borderId="7" xfId="0" applyFont="1" applyFill="1" applyBorder="1" applyAlignment="1">
      <alignment horizontal="center" vertical="center"/>
    </xf>
    <xf numFmtId="0" fontId="14" fillId="9" borderId="17" xfId="0" applyFont="1" applyFill="1" applyBorder="1" applyAlignment="1">
      <alignment horizontal="right"/>
    </xf>
    <xf numFmtId="4" fontId="14" fillId="9" borderId="7" xfId="0" applyNumberFormat="1" applyFont="1" applyFill="1" applyBorder="1" applyAlignment="1">
      <alignment horizontal="center" vertical="center"/>
    </xf>
    <xf numFmtId="3" fontId="14" fillId="9" borderId="17" xfId="0" applyNumberFormat="1" applyFont="1" applyFill="1" applyBorder="1"/>
    <xf numFmtId="4" fontId="14" fillId="9" borderId="3" xfId="0" applyNumberFormat="1" applyFont="1" applyFill="1" applyBorder="1" applyAlignment="1">
      <alignment horizontal="center" vertical="center"/>
    </xf>
    <xf numFmtId="4" fontId="14" fillId="9" borderId="0" xfId="0" applyNumberFormat="1" applyFont="1" applyFill="1" applyAlignment="1">
      <alignment horizontal="center" vertical="center"/>
    </xf>
    <xf numFmtId="3" fontId="14" fillId="9" borderId="9" xfId="0" applyNumberFormat="1" applyFont="1" applyFill="1" applyBorder="1"/>
    <xf numFmtId="0" fontId="0" fillId="9" borderId="73" xfId="0" applyFill="1" applyBorder="1"/>
    <xf numFmtId="0" fontId="0" fillId="14" borderId="75" xfId="0" applyFill="1" applyBorder="1"/>
    <xf numFmtId="3" fontId="14" fillId="9" borderId="7" xfId="0" applyNumberFormat="1" applyFont="1" applyFill="1" applyBorder="1" applyAlignment="1">
      <alignment horizontal="right" vertical="center"/>
    </xf>
    <xf numFmtId="166" fontId="0" fillId="0" borderId="0" xfId="0" applyNumberFormat="1"/>
    <xf numFmtId="2" fontId="0" fillId="14" borderId="49" xfId="0" applyNumberFormat="1" applyFill="1" applyBorder="1" applyAlignment="1">
      <alignment horizontal="center" vertical="center"/>
    </xf>
    <xf numFmtId="4" fontId="0" fillId="0" borderId="0" xfId="0" applyNumberFormat="1" applyAlignment="1">
      <alignment horizontal="center" vertical="center"/>
    </xf>
    <xf numFmtId="3" fontId="0" fillId="14" borderId="33" xfId="0" applyNumberFormat="1" applyFill="1" applyBorder="1" applyAlignment="1">
      <alignment horizontal="right" vertical="center"/>
    </xf>
    <xf numFmtId="4" fontId="0" fillId="14" borderId="29" xfId="0" applyNumberFormat="1" applyFill="1" applyBorder="1" applyAlignment="1">
      <alignment horizontal="center" vertical="center"/>
    </xf>
    <xf numFmtId="3" fontId="0" fillId="14" borderId="30" xfId="0" applyNumberFormat="1" applyFill="1" applyBorder="1" applyAlignment="1">
      <alignment vertical="center"/>
    </xf>
    <xf numFmtId="0" fontId="14" fillId="9" borderId="22" xfId="0" applyFont="1" applyFill="1" applyBorder="1" applyAlignment="1">
      <alignment horizontal="right" vertical="center"/>
    </xf>
    <xf numFmtId="4" fontId="14" fillId="9" borderId="6" xfId="0" applyNumberFormat="1" applyFont="1" applyFill="1" applyBorder="1" applyAlignment="1">
      <alignment horizontal="center" vertical="center"/>
    </xf>
    <xf numFmtId="3" fontId="14" fillId="9" borderId="27" xfId="0" applyNumberFormat="1" applyFont="1" applyFill="1" applyBorder="1" applyAlignment="1">
      <alignment horizontal="right" vertical="center"/>
    </xf>
    <xf numFmtId="0" fontId="29" fillId="0" borderId="0" xfId="0" applyFont="1" applyAlignment="1">
      <alignment vertical="top" wrapText="1"/>
    </xf>
    <xf numFmtId="0" fontId="29" fillId="0" borderId="0" xfId="0" applyFont="1" applyAlignment="1">
      <alignment vertical="top"/>
    </xf>
    <xf numFmtId="0" fontId="29" fillId="0" borderId="3" xfId="0" applyFont="1" applyBorder="1" applyAlignment="1">
      <alignment vertical="top" wrapText="1"/>
    </xf>
    <xf numFmtId="0" fontId="29" fillId="0" borderId="9" xfId="0" applyFont="1" applyBorder="1" applyAlignment="1">
      <alignment vertical="top" wrapText="1"/>
    </xf>
    <xf numFmtId="167" fontId="1" fillId="0" borderId="3" xfId="0" applyNumberFormat="1" applyFont="1" applyBorder="1" applyAlignment="1">
      <alignment horizontal="left"/>
    </xf>
    <xf numFmtId="0" fontId="0" fillId="7" borderId="77" xfId="0" applyFill="1" applyBorder="1"/>
    <xf numFmtId="0" fontId="0" fillId="6" borderId="74" xfId="0" applyFill="1" applyBorder="1" applyProtection="1">
      <protection locked="0"/>
    </xf>
    <xf numFmtId="0" fontId="0" fillId="6" borderId="72" xfId="0" applyFill="1" applyBorder="1" applyProtection="1">
      <protection locked="0"/>
    </xf>
    <xf numFmtId="0" fontId="0" fillId="6" borderId="34" xfId="0" applyFill="1" applyBorder="1" applyAlignment="1" applyProtection="1">
      <alignment horizontal="center" vertical="center"/>
      <protection locked="0"/>
    </xf>
    <xf numFmtId="0" fontId="25" fillId="0" borderId="15" xfId="0" applyFont="1" applyBorder="1" applyAlignment="1" applyProtection="1">
      <alignment vertical="center"/>
      <protection locked="0"/>
    </xf>
    <xf numFmtId="0" fontId="25" fillId="0" borderId="16" xfId="0" applyFont="1" applyBorder="1" applyAlignment="1" applyProtection="1">
      <alignment vertical="center"/>
      <protection locked="0"/>
    </xf>
    <xf numFmtId="0" fontId="0" fillId="16" borderId="0" xfId="0" applyFill="1" applyAlignment="1">
      <alignment horizontal="center"/>
    </xf>
    <xf numFmtId="0" fontId="1" fillId="16" borderId="0" xfId="0" applyFont="1" applyFill="1" applyAlignment="1">
      <alignment horizontal="center" vertical="center"/>
    </xf>
    <xf numFmtId="3" fontId="1" fillId="16" borderId="13" xfId="0" applyNumberFormat="1" applyFont="1" applyFill="1" applyBorder="1" applyAlignment="1">
      <alignment horizontal="right"/>
    </xf>
    <xf numFmtId="3" fontId="14" fillId="16" borderId="20" xfId="0" applyNumberFormat="1" applyFont="1" applyFill="1" applyBorder="1" applyAlignment="1">
      <alignment horizontal="center" vertical="center"/>
    </xf>
    <xf numFmtId="9" fontId="14" fillId="16" borderId="0" xfId="4" applyFont="1" applyFill="1" applyBorder="1" applyAlignment="1" applyProtection="1">
      <alignment horizontal="center" vertical="center"/>
    </xf>
    <xf numFmtId="3" fontId="1" fillId="16" borderId="13" xfId="0" applyNumberFormat="1" applyFont="1" applyFill="1" applyBorder="1"/>
    <xf numFmtId="3" fontId="14" fillId="16" borderId="13" xfId="0" applyNumberFormat="1" applyFont="1" applyFill="1" applyBorder="1"/>
    <xf numFmtId="3" fontId="14" fillId="16" borderId="3" xfId="0" applyNumberFormat="1" applyFont="1" applyFill="1" applyBorder="1" applyAlignment="1">
      <alignment horizontal="center" vertical="center"/>
    </xf>
    <xf numFmtId="3" fontId="1" fillId="16" borderId="9" xfId="0" applyNumberFormat="1" applyFont="1" applyFill="1" applyBorder="1"/>
    <xf numFmtId="3" fontId="0" fillId="16" borderId="0" xfId="0" applyNumberFormat="1" applyFill="1" applyAlignment="1" applyProtection="1">
      <alignment horizontal="center"/>
      <protection locked="0"/>
    </xf>
    <xf numFmtId="0" fontId="0" fillId="16" borderId="0" xfId="0" applyFill="1" applyAlignment="1" applyProtection="1">
      <alignment horizontal="center"/>
      <protection locked="0"/>
    </xf>
    <xf numFmtId="3" fontId="0" fillId="16" borderId="59" xfId="0" applyNumberFormat="1" applyFill="1" applyBorder="1" applyAlignment="1">
      <alignment horizontal="center"/>
    </xf>
    <xf numFmtId="3" fontId="0" fillId="16" borderId="54" xfId="0" applyNumberFormat="1" applyFill="1" applyBorder="1" applyAlignment="1">
      <alignment horizontal="center"/>
    </xf>
    <xf numFmtId="3" fontId="1" fillId="16" borderId="69" xfId="0" applyNumberFormat="1" applyFont="1" applyFill="1" applyBorder="1" applyAlignment="1">
      <alignment horizontal="right"/>
    </xf>
    <xf numFmtId="168" fontId="31" fillId="0" borderId="83" xfId="0" quotePrefix="1" applyNumberFormat="1" applyFont="1" applyBorder="1" applyAlignment="1">
      <alignment vertical="center"/>
    </xf>
    <xf numFmtId="14" fontId="0" fillId="0" borderId="0" xfId="0" applyNumberFormat="1"/>
    <xf numFmtId="2" fontId="0" fillId="0" borderId="0" xfId="0" applyNumberFormat="1"/>
    <xf numFmtId="0" fontId="0" fillId="14" borderId="72" xfId="0" applyFill="1" applyBorder="1" applyAlignment="1" applyProtection="1">
      <alignment horizontal="center" vertical="center"/>
      <protection locked="0"/>
    </xf>
    <xf numFmtId="0" fontId="0" fillId="6" borderId="21" xfId="0" applyFill="1" applyBorder="1" applyAlignment="1" applyProtection="1">
      <alignment horizontal="center" vertical="center"/>
      <protection locked="0"/>
    </xf>
    <xf numFmtId="3" fontId="0" fillId="14" borderId="73" xfId="0" quotePrefix="1" applyNumberFormat="1" applyFill="1" applyBorder="1" applyAlignment="1">
      <alignment horizontal="right"/>
    </xf>
    <xf numFmtId="9" fontId="0" fillId="0" borderId="0" xfId="4" applyFont="1"/>
    <xf numFmtId="10" fontId="0" fillId="14" borderId="43" xfId="0" applyNumberFormat="1" applyFill="1" applyBorder="1" applyAlignment="1">
      <alignment horizontal="left"/>
    </xf>
    <xf numFmtId="9" fontId="0" fillId="6" borderId="40" xfId="0" quotePrefix="1" applyNumberFormat="1" applyFill="1" applyBorder="1" applyAlignment="1" applyProtection="1">
      <alignment horizontal="center"/>
      <protection locked="0" hidden="1"/>
    </xf>
    <xf numFmtId="0" fontId="0" fillId="11" borderId="3" xfId="0" applyFill="1" applyBorder="1" applyAlignment="1">
      <alignment horizontal="center" vertical="center"/>
    </xf>
    <xf numFmtId="0" fontId="0" fillId="6" borderId="25" xfId="0" applyFill="1" applyBorder="1" applyAlignment="1" applyProtection="1">
      <alignment horizontal="right" vertical="top"/>
      <protection locked="0"/>
    </xf>
    <xf numFmtId="0" fontId="0" fillId="6" borderId="25" xfId="0" applyFill="1" applyBorder="1" applyAlignment="1" applyProtection="1">
      <alignment horizontal="center" vertical="top"/>
      <protection locked="0"/>
    </xf>
    <xf numFmtId="4" fontId="0" fillId="2" borderId="22" xfId="0" applyNumberFormat="1" applyFill="1" applyBorder="1" applyAlignment="1">
      <alignment horizontal="center" vertical="center"/>
    </xf>
    <xf numFmtId="0" fontId="0" fillId="6" borderId="0" xfId="0" applyFill="1" applyAlignment="1" applyProtection="1">
      <alignment wrapText="1"/>
      <protection locked="0"/>
    </xf>
    <xf numFmtId="3" fontId="0" fillId="2" borderId="3" xfId="0" applyNumberFormat="1" applyFill="1" applyBorder="1" applyAlignment="1">
      <alignment horizontal="center"/>
    </xf>
    <xf numFmtId="3" fontId="0" fillId="2" borderId="0" xfId="0" applyNumberFormat="1" applyFill="1" applyAlignment="1">
      <alignment horizontal="center"/>
    </xf>
    <xf numFmtId="3" fontId="0" fillId="2" borderId="84" xfId="0" applyNumberFormat="1" applyFill="1" applyBorder="1"/>
    <xf numFmtId="3" fontId="0" fillId="2" borderId="5" xfId="0" applyNumberFormat="1" applyFill="1" applyBorder="1" applyAlignment="1">
      <alignment horizontal="center"/>
    </xf>
    <xf numFmtId="3" fontId="0" fillId="2" borderId="58" xfId="0" applyNumberFormat="1" applyFill="1" applyBorder="1"/>
    <xf numFmtId="3" fontId="0" fillId="11" borderId="84" xfId="0" applyNumberFormat="1" applyFill="1" applyBorder="1"/>
    <xf numFmtId="9" fontId="0" fillId="0" borderId="0" xfId="4" applyFont="1" applyBorder="1"/>
    <xf numFmtId="9" fontId="0" fillId="0" borderId="2" xfId="4" applyFont="1" applyBorder="1"/>
    <xf numFmtId="9" fontId="0" fillId="0" borderId="5" xfId="4" applyFont="1" applyBorder="1"/>
    <xf numFmtId="1" fontId="0" fillId="0" borderId="9" xfId="4" applyNumberFormat="1" applyFont="1" applyBorder="1"/>
    <xf numFmtId="1" fontId="0" fillId="0" borderId="8" xfId="4" applyNumberFormat="1" applyFont="1" applyBorder="1"/>
    <xf numFmtId="1" fontId="0" fillId="0" borderId="10" xfId="4" applyNumberFormat="1" applyFont="1" applyBorder="1"/>
    <xf numFmtId="0" fontId="0" fillId="9" borderId="14" xfId="0" applyFill="1" applyBorder="1"/>
    <xf numFmtId="0" fontId="33" fillId="16" borderId="13" xfId="0" applyFont="1" applyFill="1" applyBorder="1" applyAlignment="1" applyProtection="1">
      <alignment horizontal="center"/>
      <protection locked="0"/>
    </xf>
    <xf numFmtId="164" fontId="0" fillId="6" borderId="14" xfId="0" applyNumberFormat="1" applyFill="1" applyBorder="1" applyAlignment="1" applyProtection="1">
      <alignment wrapText="1"/>
      <protection locked="0"/>
    </xf>
    <xf numFmtId="3" fontId="0" fillId="7" borderId="13" xfId="0" applyNumberFormat="1" applyFill="1" applyBorder="1"/>
    <xf numFmtId="0" fontId="0" fillId="6" borderId="28" xfId="0" applyFill="1" applyBorder="1" applyAlignment="1" applyProtection="1">
      <alignment horizontal="left" wrapText="1"/>
      <protection locked="0"/>
    </xf>
    <xf numFmtId="0" fontId="0" fillId="0" borderId="0" xfId="0" applyProtection="1">
      <protection hidden="1"/>
    </xf>
    <xf numFmtId="0" fontId="0" fillId="6" borderId="34" xfId="0" applyFill="1" applyBorder="1" applyAlignment="1" applyProtection="1">
      <alignment horizontal="center" vertical="center"/>
      <protection locked="0" hidden="1"/>
    </xf>
    <xf numFmtId="0" fontId="0" fillId="0" borderId="0" xfId="0" applyAlignment="1" applyProtection="1">
      <alignment wrapText="1"/>
      <protection hidden="1"/>
    </xf>
    <xf numFmtId="0" fontId="0" fillId="0" borderId="0" xfId="0" applyAlignment="1" applyProtection="1">
      <alignment horizontal="center"/>
      <protection hidden="1"/>
    </xf>
    <xf numFmtId="0" fontId="0" fillId="0" borderId="9" xfId="0" applyBorder="1" applyProtection="1">
      <protection hidden="1"/>
    </xf>
    <xf numFmtId="0" fontId="29" fillId="0" borderId="0" xfId="0" applyFont="1" applyAlignment="1" applyProtection="1">
      <alignment vertical="top" wrapText="1"/>
      <protection hidden="1"/>
    </xf>
    <xf numFmtId="0" fontId="0" fillId="7" borderId="20" xfId="0" applyFill="1" applyBorder="1"/>
    <xf numFmtId="0" fontId="0" fillId="7" borderId="0" xfId="0" applyFill="1" applyAlignment="1">
      <alignment horizontal="right" vertical="center" wrapText="1"/>
    </xf>
    <xf numFmtId="0" fontId="0" fillId="7" borderId="0" xfId="0" applyFill="1" applyAlignment="1">
      <alignment horizontal="right" wrapText="1"/>
    </xf>
    <xf numFmtId="0" fontId="0" fillId="7" borderId="20" xfId="0" applyFill="1" applyBorder="1" applyAlignment="1">
      <alignment vertical="top"/>
    </xf>
    <xf numFmtId="0" fontId="0" fillId="7" borderId="20" xfId="0" applyFill="1" applyBorder="1" applyAlignment="1">
      <alignment vertical="center"/>
    </xf>
    <xf numFmtId="0" fontId="0" fillId="7" borderId="0" xfId="0" applyFill="1" applyAlignment="1">
      <alignment vertical="center"/>
    </xf>
    <xf numFmtId="0" fontId="0" fillId="7" borderId="0" xfId="0" applyFill="1" applyAlignment="1">
      <alignment horizontal="right" vertical="top"/>
    </xf>
    <xf numFmtId="0" fontId="19" fillId="0" borderId="0" xfId="5" applyAlignment="1">
      <alignment vertical="top"/>
    </xf>
    <xf numFmtId="4" fontId="0" fillId="2" borderId="26" xfId="0" applyNumberFormat="1" applyFill="1" applyBorder="1" applyAlignment="1">
      <alignment horizontal="center" vertical="center"/>
    </xf>
    <xf numFmtId="4" fontId="0" fillId="2" borderId="43" xfId="0" applyNumberFormat="1" applyFill="1" applyBorder="1" applyAlignment="1">
      <alignment horizontal="center" vertical="center"/>
    </xf>
    <xf numFmtId="3" fontId="0" fillId="0" borderId="54" xfId="0" applyNumberFormat="1" applyBorder="1" applyAlignment="1">
      <alignment horizontal="center"/>
    </xf>
    <xf numFmtId="0" fontId="0" fillId="0" borderId="54" xfId="0" applyBorder="1" applyAlignment="1">
      <alignment horizontal="center"/>
    </xf>
    <xf numFmtId="3" fontId="1" fillId="0" borderId="54" xfId="0" applyNumberFormat="1" applyFont="1" applyBorder="1"/>
    <xf numFmtId="0" fontId="1" fillId="0" borderId="54" xfId="0" applyFont="1" applyBorder="1" applyAlignment="1">
      <alignment horizontal="right"/>
    </xf>
    <xf numFmtId="0" fontId="0" fillId="17" borderId="0" xfId="0" applyFill="1" applyAlignment="1">
      <alignment horizontal="center"/>
    </xf>
    <xf numFmtId="0" fontId="1" fillId="17" borderId="0" xfId="0" applyFont="1" applyFill="1" applyAlignment="1">
      <alignment horizontal="left"/>
    </xf>
    <xf numFmtId="0" fontId="1" fillId="17" borderId="0" xfId="0" applyFont="1" applyFill="1"/>
    <xf numFmtId="0" fontId="0" fillId="0" borderId="46" xfId="0" applyBorder="1" applyAlignment="1">
      <alignment horizontal="center"/>
    </xf>
    <xf numFmtId="3" fontId="0" fillId="0" borderId="46" xfId="0" applyNumberFormat="1" applyBorder="1" applyAlignment="1">
      <alignment horizontal="center"/>
    </xf>
    <xf numFmtId="0" fontId="0" fillId="2" borderId="17" xfId="0" applyFill="1" applyBorder="1" applyAlignment="1">
      <alignment horizontal="center"/>
    </xf>
    <xf numFmtId="3" fontId="0" fillId="0" borderId="22" xfId="0" applyNumberFormat="1" applyBorder="1" applyAlignment="1">
      <alignment horizontal="center"/>
    </xf>
    <xf numFmtId="3" fontId="0" fillId="0" borderId="7" xfId="0" applyNumberFormat="1" applyBorder="1" applyAlignment="1">
      <alignment horizontal="center"/>
    </xf>
    <xf numFmtId="0" fontId="0" fillId="2" borderId="0" xfId="0" applyFill="1"/>
    <xf numFmtId="0" fontId="0" fillId="0" borderId="0" xfId="0" applyAlignment="1">
      <alignment vertical="top"/>
    </xf>
    <xf numFmtId="0" fontId="0" fillId="17" borderId="13" xfId="0" applyFill="1" applyBorder="1" applyAlignment="1">
      <alignment horizontal="center"/>
    </xf>
    <xf numFmtId="0" fontId="0" fillId="17" borderId="20" xfId="0" applyFill="1" applyBorder="1" applyAlignment="1">
      <alignment horizontal="center"/>
    </xf>
    <xf numFmtId="0" fontId="1" fillId="17" borderId="0" xfId="0" applyFont="1" applyFill="1" applyAlignment="1">
      <alignment horizontal="right"/>
    </xf>
    <xf numFmtId="0" fontId="0" fillId="2" borderId="13" xfId="0" applyFill="1" applyBorder="1" applyAlignment="1">
      <alignment horizontal="center"/>
    </xf>
    <xf numFmtId="3" fontId="0" fillId="0" borderId="20" xfId="0" applyNumberFormat="1" applyBorder="1" applyAlignment="1">
      <alignment horizontal="center"/>
    </xf>
    <xf numFmtId="3" fontId="0" fillId="17" borderId="20" xfId="0" applyNumberFormat="1" applyFill="1" applyBorder="1" applyAlignment="1">
      <alignment horizontal="center"/>
    </xf>
    <xf numFmtId="0" fontId="0" fillId="0" borderId="0" xfId="0" applyAlignment="1">
      <alignment vertical="top" wrapText="1"/>
    </xf>
    <xf numFmtId="4" fontId="0" fillId="0" borderId="13" xfId="4" applyNumberFormat="1" applyFont="1" applyBorder="1" applyAlignment="1">
      <alignment horizontal="center"/>
    </xf>
    <xf numFmtId="3" fontId="0" fillId="0" borderId="85" xfId="0" applyNumberFormat="1" applyBorder="1" applyAlignment="1">
      <alignment horizontal="center"/>
    </xf>
    <xf numFmtId="0" fontId="1" fillId="0" borderId="0" xfId="0" applyFont="1" applyAlignment="1">
      <alignment vertical="top"/>
    </xf>
    <xf numFmtId="0" fontId="0" fillId="2" borderId="20" xfId="0" applyFill="1" applyBorder="1" applyAlignment="1">
      <alignment horizontal="center"/>
    </xf>
    <xf numFmtId="2" fontId="0" fillId="0" borderId="13" xfId="4" applyNumberFormat="1" applyFont="1" applyBorder="1" applyAlignment="1">
      <alignment horizontal="center"/>
    </xf>
    <xf numFmtId="0" fontId="1" fillId="17" borderId="13" xfId="0" applyFont="1" applyFill="1" applyBorder="1" applyAlignment="1">
      <alignment horizontal="center"/>
    </xf>
    <xf numFmtId="0" fontId="1" fillId="17" borderId="20" xfId="0" applyFont="1" applyFill="1" applyBorder="1" applyAlignment="1">
      <alignment horizontal="center"/>
    </xf>
    <xf numFmtId="0" fontId="0" fillId="0" borderId="15" xfId="0" applyBorder="1"/>
    <xf numFmtId="0" fontId="5" fillId="0" borderId="0" xfId="0" applyFont="1" applyAlignment="1">
      <alignment horizontal="center" vertical="center" wrapText="1"/>
    </xf>
    <xf numFmtId="0" fontId="0" fillId="0" borderId="0" xfId="0" applyAlignment="1">
      <alignment horizontal="center" wrapText="1"/>
    </xf>
    <xf numFmtId="9" fontId="1" fillId="0" borderId="0" xfId="4" applyFont="1" applyBorder="1" applyAlignment="1">
      <alignment horizontal="left"/>
    </xf>
    <xf numFmtId="0" fontId="1" fillId="0" borderId="0" xfId="0" applyFont="1" applyAlignment="1">
      <alignment horizontal="left"/>
    </xf>
    <xf numFmtId="4" fontId="0" fillId="0" borderId="0" xfId="0" applyNumberFormat="1"/>
    <xf numFmtId="0" fontId="0" fillId="2" borderId="0" xfId="0" applyFill="1" applyAlignment="1">
      <alignment horizontal="center"/>
    </xf>
    <xf numFmtId="3" fontId="0" fillId="17" borderId="13" xfId="0" applyNumberFormat="1" applyFill="1" applyBorder="1" applyAlignment="1">
      <alignment horizontal="center"/>
    </xf>
    <xf numFmtId="0" fontId="1" fillId="17" borderId="0" xfId="0" applyFont="1" applyFill="1" applyAlignment="1">
      <alignment horizontal="left" vertical="top"/>
    </xf>
    <xf numFmtId="0" fontId="0" fillId="17" borderId="20" xfId="0" applyFill="1" applyBorder="1" applyAlignment="1">
      <alignment horizontal="left" vertical="top"/>
    </xf>
    <xf numFmtId="0" fontId="0" fillId="17" borderId="13" xfId="0" applyFill="1" applyBorder="1" applyAlignment="1">
      <alignment horizontal="left" vertical="top"/>
    </xf>
    <xf numFmtId="0" fontId="0" fillId="0" borderId="0" xfId="0" applyAlignment="1">
      <alignment horizontal="left" vertical="top"/>
    </xf>
    <xf numFmtId="0" fontId="0" fillId="6" borderId="34" xfId="0" applyFill="1" applyBorder="1" applyAlignment="1" applyProtection="1">
      <alignment horizontal="center"/>
      <protection locked="0"/>
    </xf>
    <xf numFmtId="0" fontId="3" fillId="11" borderId="26" xfId="0" applyFont="1" applyFill="1" applyBorder="1" applyAlignment="1">
      <alignment horizontal="left" wrapText="1"/>
    </xf>
    <xf numFmtId="0" fontId="3" fillId="11" borderId="26" xfId="0" applyFont="1" applyFill="1" applyBorder="1" applyAlignment="1">
      <alignment horizontal="center" wrapText="1"/>
    </xf>
    <xf numFmtId="0" fontId="17" fillId="2" borderId="27" xfId="0" applyFont="1" applyFill="1" applyBorder="1" applyAlignment="1">
      <alignment horizontal="left"/>
    </xf>
    <xf numFmtId="0" fontId="3" fillId="11" borderId="27" xfId="0" applyFont="1" applyFill="1" applyBorder="1" applyAlignment="1">
      <alignment horizontal="left" wrapText="1"/>
    </xf>
    <xf numFmtId="4" fontId="0" fillId="2" borderId="27" xfId="0" applyNumberFormat="1" applyFill="1" applyBorder="1" applyAlignment="1">
      <alignment horizontal="center" vertical="center"/>
    </xf>
    <xf numFmtId="0" fontId="17" fillId="11" borderId="27" xfId="0" applyFont="1" applyFill="1" applyBorder="1" applyAlignment="1">
      <alignment horizontal="left" wrapText="1"/>
    </xf>
    <xf numFmtId="0" fontId="17" fillId="11" borderId="26" xfId="0" applyFont="1" applyFill="1" applyBorder="1" applyAlignment="1">
      <alignment horizontal="left" wrapText="1"/>
    </xf>
    <xf numFmtId="0" fontId="0" fillId="0" borderId="47" xfId="0" applyBorder="1" applyAlignment="1">
      <alignment horizontal="center"/>
    </xf>
    <xf numFmtId="0" fontId="1" fillId="0" borderId="46" xfId="0" applyFont="1" applyBorder="1" applyAlignment="1">
      <alignment horizontal="right"/>
    </xf>
    <xf numFmtId="3" fontId="1" fillId="0" borderId="46" xfId="0" applyNumberFormat="1" applyFont="1" applyBorder="1"/>
    <xf numFmtId="0" fontId="1" fillId="17" borderId="15" xfId="0" applyFont="1" applyFill="1" applyBorder="1"/>
    <xf numFmtId="0" fontId="1" fillId="17" borderId="15" xfId="0" applyFont="1" applyFill="1" applyBorder="1" applyAlignment="1">
      <alignment horizontal="left"/>
    </xf>
    <xf numFmtId="0" fontId="0" fillId="17" borderId="15" xfId="0" applyFill="1" applyBorder="1" applyAlignment="1">
      <alignment horizontal="center"/>
    </xf>
    <xf numFmtId="0" fontId="1" fillId="17" borderId="21" xfId="0" applyFont="1" applyFill="1" applyBorder="1"/>
    <xf numFmtId="0" fontId="0" fillId="17" borderId="16" xfId="0" applyFill="1" applyBorder="1" applyAlignment="1">
      <alignment horizontal="center"/>
    </xf>
    <xf numFmtId="3" fontId="0" fillId="0" borderId="86" xfId="0" applyNumberFormat="1" applyBorder="1" applyAlignment="1">
      <alignment horizontal="center"/>
    </xf>
    <xf numFmtId="0" fontId="0" fillId="0" borderId="20" xfId="0" applyBorder="1"/>
    <xf numFmtId="0" fontId="0" fillId="0" borderId="20" xfId="0" applyBorder="1" applyAlignment="1">
      <alignment horizontal="left" vertical="top"/>
    </xf>
    <xf numFmtId="0" fontId="1" fillId="0" borderId="20" xfId="1" applyBorder="1"/>
    <xf numFmtId="0" fontId="1" fillId="7" borderId="0" xfId="0" applyFont="1" applyFill="1" applyAlignment="1">
      <alignment horizontal="left" vertical="top"/>
    </xf>
    <xf numFmtId="0" fontId="0" fillId="7" borderId="0" xfId="0" applyFill="1" applyAlignment="1">
      <alignment horizontal="right"/>
    </xf>
    <xf numFmtId="3" fontId="0" fillId="11" borderId="70" xfId="0" applyNumberFormat="1" applyFill="1" applyBorder="1" applyAlignment="1">
      <alignment horizontal="center"/>
    </xf>
    <xf numFmtId="3" fontId="0" fillId="11" borderId="76" xfId="0" applyNumberFormat="1" applyFill="1" applyBorder="1" applyAlignment="1">
      <alignment horizontal="center"/>
    </xf>
    <xf numFmtId="3" fontId="0" fillId="11" borderId="76" xfId="0" applyNumberFormat="1" applyFill="1" applyBorder="1"/>
    <xf numFmtId="3" fontId="0" fillId="11" borderId="3" xfId="0" applyNumberFormat="1" applyFill="1" applyBorder="1" applyAlignment="1">
      <alignment horizontal="center"/>
    </xf>
    <xf numFmtId="3" fontId="0" fillId="11" borderId="0" xfId="0" applyNumberFormat="1" applyFill="1" applyAlignment="1">
      <alignment horizontal="center"/>
    </xf>
    <xf numFmtId="3" fontId="1" fillId="11" borderId="87" xfId="0" applyNumberFormat="1" applyFont="1" applyFill="1" applyBorder="1"/>
    <xf numFmtId="3" fontId="0" fillId="11" borderId="88" xfId="0" applyNumberFormat="1" applyFill="1" applyBorder="1"/>
    <xf numFmtId="3" fontId="0" fillId="11" borderId="89" xfId="0" applyNumberFormat="1" applyFill="1" applyBorder="1" applyAlignment="1">
      <alignment horizontal="center"/>
    </xf>
    <xf numFmtId="3" fontId="0" fillId="11" borderId="90" xfId="0" applyNumberFormat="1" applyFill="1" applyBorder="1"/>
    <xf numFmtId="3" fontId="0" fillId="11" borderId="91" xfId="0" applyNumberFormat="1" applyFill="1" applyBorder="1"/>
    <xf numFmtId="0" fontId="0" fillId="6" borderId="20" xfId="0" applyFill="1" applyBorder="1" applyAlignment="1" applyProtection="1">
      <alignment wrapText="1"/>
      <protection locked="0"/>
    </xf>
    <xf numFmtId="0" fontId="0" fillId="6" borderId="0" xfId="0" applyFill="1" applyAlignment="1" applyProtection="1">
      <alignment wrapText="1"/>
      <protection locked="0"/>
    </xf>
    <xf numFmtId="0" fontId="0" fillId="6" borderId="13" xfId="0" applyFill="1" applyBorder="1" applyAlignment="1" applyProtection="1">
      <alignment wrapText="1"/>
      <protection locked="0"/>
    </xf>
    <xf numFmtId="0" fontId="0" fillId="6" borderId="20" xfId="0" applyFill="1" applyBorder="1" applyAlignment="1" applyProtection="1">
      <alignment horizontal="left" vertical="top"/>
      <protection locked="0"/>
    </xf>
    <xf numFmtId="0" fontId="0" fillId="6" borderId="0" xfId="0" applyFill="1" applyAlignment="1" applyProtection="1">
      <alignment horizontal="left" vertical="top"/>
      <protection locked="0"/>
    </xf>
    <xf numFmtId="0" fontId="0" fillId="6" borderId="13" xfId="0" applyFill="1" applyBorder="1" applyAlignment="1" applyProtection="1">
      <alignment horizontal="left" vertical="top"/>
      <protection locked="0"/>
    </xf>
    <xf numFmtId="0" fontId="0" fillId="6" borderId="20" xfId="0" applyFill="1" applyBorder="1" applyAlignment="1" applyProtection="1">
      <alignment horizontal="left" wrapText="1"/>
      <protection locked="0"/>
    </xf>
    <xf numFmtId="0" fontId="0" fillId="6" borderId="0" xfId="0" applyFill="1" applyAlignment="1" applyProtection="1">
      <alignment horizontal="left" wrapText="1"/>
      <protection locked="0"/>
    </xf>
    <xf numFmtId="0" fontId="0" fillId="6" borderId="13" xfId="0" applyFill="1" applyBorder="1" applyAlignment="1" applyProtection="1">
      <alignment horizontal="left" wrapText="1"/>
      <protection locked="0"/>
    </xf>
    <xf numFmtId="0" fontId="1" fillId="0" borderId="20" xfId="0" applyFont="1" applyBorder="1" applyAlignment="1" applyProtection="1">
      <alignment horizontal="left" vertical="top"/>
      <protection locked="0"/>
    </xf>
    <xf numFmtId="0" fontId="1" fillId="0" borderId="0" xfId="0" applyFont="1" applyAlignment="1" applyProtection="1">
      <alignment horizontal="left" vertical="top"/>
      <protection locked="0"/>
    </xf>
    <xf numFmtId="0" fontId="1" fillId="0" borderId="13" xfId="0" applyFont="1" applyBorder="1" applyAlignment="1" applyProtection="1">
      <alignment horizontal="left" vertical="top"/>
      <protection locked="0"/>
    </xf>
    <xf numFmtId="0" fontId="0" fillId="0" borderId="20"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13" xfId="0" applyBorder="1" applyAlignment="1" applyProtection="1">
      <alignment horizontal="left" vertical="top"/>
      <protection locked="0"/>
    </xf>
    <xf numFmtId="0" fontId="1" fillId="0" borderId="22" xfId="0" applyFont="1" applyBorder="1" applyAlignment="1" applyProtection="1">
      <alignment horizontal="left" vertical="top"/>
      <protection locked="0"/>
    </xf>
    <xf numFmtId="0" fontId="1" fillId="0" borderId="7" xfId="0" applyFont="1" applyBorder="1" applyAlignment="1" applyProtection="1">
      <alignment horizontal="left" vertical="top"/>
      <protection locked="0"/>
    </xf>
    <xf numFmtId="0" fontId="1" fillId="0" borderId="17" xfId="0" applyFont="1" applyBorder="1" applyAlignment="1" applyProtection="1">
      <alignment horizontal="left" vertical="top"/>
      <protection locked="0"/>
    </xf>
    <xf numFmtId="0" fontId="1" fillId="11" borderId="28" xfId="0" applyFont="1" applyFill="1" applyBorder="1" applyAlignment="1">
      <alignment horizontal="left" vertical="top"/>
    </xf>
    <xf numFmtId="0" fontId="1" fillId="11" borderId="26" xfId="0" applyFont="1" applyFill="1" applyBorder="1" applyAlignment="1">
      <alignment horizontal="left" vertical="top"/>
    </xf>
    <xf numFmtId="0" fontId="1" fillId="13" borderId="56" xfId="0" applyFont="1" applyFill="1" applyBorder="1" applyAlignment="1">
      <alignment horizontal="center" vertical="center" wrapText="1"/>
    </xf>
    <xf numFmtId="0" fontId="1" fillId="13" borderId="57" xfId="0" applyFont="1" applyFill="1" applyBorder="1" applyAlignment="1">
      <alignment horizontal="center" vertical="center" wrapText="1"/>
    </xf>
    <xf numFmtId="0" fontId="1" fillId="13" borderId="58" xfId="0" applyFont="1" applyFill="1" applyBorder="1" applyAlignment="1">
      <alignment horizontal="center" vertical="center" wrapText="1"/>
    </xf>
    <xf numFmtId="0" fontId="0" fillId="6" borderId="21" xfId="0" applyFill="1" applyBorder="1" applyAlignment="1" applyProtection="1">
      <alignment horizontal="left" wrapText="1"/>
      <protection locked="0"/>
    </xf>
    <xf numFmtId="0" fontId="0" fillId="6" borderId="16" xfId="0" applyFill="1" applyBorder="1" applyAlignment="1" applyProtection="1">
      <alignment horizontal="left" wrapText="1"/>
      <protection locked="0"/>
    </xf>
    <xf numFmtId="0" fontId="4" fillId="6" borderId="2" xfId="0" applyFont="1" applyFill="1" applyBorder="1" applyAlignment="1" applyProtection="1">
      <alignment horizontal="left" vertical="center"/>
      <protection locked="0"/>
    </xf>
    <xf numFmtId="0" fontId="1" fillId="2" borderId="28" xfId="0" applyFont="1" applyFill="1" applyBorder="1" applyAlignment="1">
      <alignment horizontal="left"/>
    </xf>
    <xf numFmtId="0" fontId="1" fillId="2" borderId="26" xfId="0" applyFont="1" applyFill="1" applyBorder="1" applyAlignment="1">
      <alignment horizontal="left"/>
    </xf>
    <xf numFmtId="0" fontId="0" fillId="6" borderId="21" xfId="0" applyFill="1" applyBorder="1" applyAlignment="1" applyProtection="1">
      <alignment horizontal="left" vertical="top"/>
      <protection locked="0"/>
    </xf>
    <xf numFmtId="0" fontId="0" fillId="6" borderId="15" xfId="0" applyFill="1" applyBorder="1" applyAlignment="1" applyProtection="1">
      <alignment horizontal="left" vertical="top"/>
      <protection locked="0"/>
    </xf>
    <xf numFmtId="0" fontId="0" fillId="6" borderId="16" xfId="0" applyFill="1" applyBorder="1" applyAlignment="1" applyProtection="1">
      <alignment horizontal="left" vertical="top"/>
      <protection locked="0"/>
    </xf>
    <xf numFmtId="0" fontId="1" fillId="11" borderId="21" xfId="0" applyFont="1" applyFill="1" applyBorder="1" applyAlignment="1">
      <alignment horizontal="left" vertical="top"/>
    </xf>
    <xf numFmtId="0" fontId="1" fillId="11" borderId="15" xfId="0" applyFont="1" applyFill="1" applyBorder="1" applyAlignment="1">
      <alignment horizontal="left" vertical="top"/>
    </xf>
    <xf numFmtId="4" fontId="1" fillId="2" borderId="28" xfId="0" applyNumberFormat="1" applyFont="1" applyFill="1" applyBorder="1" applyAlignment="1">
      <alignment horizontal="left"/>
    </xf>
    <xf numFmtId="4" fontId="1" fillId="2" borderId="26" xfId="0" applyNumberFormat="1" applyFont="1" applyFill="1" applyBorder="1" applyAlignment="1">
      <alignment horizontal="left"/>
    </xf>
    <xf numFmtId="0" fontId="0" fillId="6" borderId="15" xfId="0" applyFill="1" applyBorder="1" applyAlignment="1" applyProtection="1">
      <alignment horizontal="left" wrapText="1"/>
      <protection locked="0"/>
    </xf>
    <xf numFmtId="0" fontId="0" fillId="11" borderId="21" xfId="0" applyFill="1" applyBorder="1" applyAlignment="1">
      <alignment horizontal="left" vertical="center"/>
    </xf>
    <xf numFmtId="0" fontId="0" fillId="11" borderId="15" xfId="0" applyFill="1" applyBorder="1" applyAlignment="1">
      <alignment horizontal="left" vertical="center"/>
    </xf>
    <xf numFmtId="0" fontId="0" fillId="11" borderId="20" xfId="0" applyFill="1" applyBorder="1" applyAlignment="1">
      <alignment horizontal="left" vertical="center"/>
    </xf>
    <xf numFmtId="0" fontId="0" fillId="11" borderId="0" xfId="0" applyFill="1" applyAlignment="1">
      <alignment horizontal="left" vertical="center"/>
    </xf>
    <xf numFmtId="0" fontId="0" fillId="11" borderId="22" xfId="0" applyFill="1" applyBorder="1" applyAlignment="1" applyProtection="1">
      <alignment horizontal="left" vertical="center"/>
      <protection hidden="1"/>
    </xf>
    <xf numFmtId="0" fontId="0" fillId="11" borderId="7" xfId="0" applyFill="1" applyBorder="1" applyAlignment="1" applyProtection="1">
      <alignment horizontal="left" vertical="center"/>
      <protection hidden="1"/>
    </xf>
    <xf numFmtId="0" fontId="4" fillId="10" borderId="1" xfId="0" applyFont="1" applyFill="1" applyBorder="1" applyAlignment="1">
      <alignment horizontal="left"/>
    </xf>
    <xf numFmtId="0" fontId="4" fillId="10" borderId="2" xfId="0" applyFont="1" applyFill="1" applyBorder="1" applyAlignment="1">
      <alignment horizontal="left"/>
    </xf>
    <xf numFmtId="0" fontId="22" fillId="16" borderId="20" xfId="0" applyFont="1" applyFill="1" applyBorder="1" applyAlignment="1">
      <alignment horizontal="left" vertical="center"/>
    </xf>
    <xf numFmtId="0" fontId="22" fillId="16" borderId="0" xfId="0" applyFont="1" applyFill="1" applyAlignment="1">
      <alignment horizontal="left" vertical="center"/>
    </xf>
    <xf numFmtId="0" fontId="0" fillId="14" borderId="20" xfId="0" applyFill="1" applyBorder="1" applyAlignment="1">
      <alignment horizontal="left" vertical="center"/>
    </xf>
    <xf numFmtId="0" fontId="0" fillId="14" borderId="0" xfId="0" applyFill="1" applyAlignment="1">
      <alignment horizontal="left" vertical="center"/>
    </xf>
    <xf numFmtId="9" fontId="0" fillId="14" borderId="22" xfId="0" applyNumberFormat="1" applyFill="1" applyBorder="1" applyAlignment="1" applyProtection="1">
      <alignment horizontal="left" vertical="center"/>
      <protection hidden="1"/>
    </xf>
    <xf numFmtId="0" fontId="0" fillId="14" borderId="7" xfId="0" applyFill="1" applyBorder="1" applyAlignment="1" applyProtection="1">
      <alignment horizontal="left" vertical="center"/>
      <protection hidden="1"/>
    </xf>
    <xf numFmtId="0" fontId="0" fillId="14" borderId="21" xfId="0" applyFill="1" applyBorder="1" applyAlignment="1">
      <alignment horizontal="left" vertical="center"/>
    </xf>
    <xf numFmtId="0" fontId="0" fillId="14" borderId="15" xfId="0" applyFill="1" applyBorder="1" applyAlignment="1">
      <alignment horizontal="left" vertical="center"/>
    </xf>
    <xf numFmtId="0" fontId="17" fillId="0" borderId="0" xfId="0" applyFont="1" applyAlignment="1">
      <alignment horizontal="left" wrapText="1"/>
    </xf>
    <xf numFmtId="0" fontId="17" fillId="0" borderId="9" xfId="0" applyFont="1" applyBorder="1" applyAlignment="1">
      <alignment horizontal="left" wrapText="1"/>
    </xf>
    <xf numFmtId="0" fontId="17" fillId="0" borderId="0" xfId="0" applyFont="1" applyAlignment="1" applyProtection="1">
      <alignment horizontal="left" wrapText="1"/>
      <protection hidden="1"/>
    </xf>
    <xf numFmtId="0" fontId="17" fillId="0" borderId="9" xfId="0" applyFont="1" applyBorder="1" applyAlignment="1" applyProtection="1">
      <alignment horizontal="left" wrapText="1"/>
      <protection hidden="1"/>
    </xf>
    <xf numFmtId="0" fontId="17" fillId="0" borderId="3" xfId="0" applyFont="1" applyBorder="1" applyAlignment="1">
      <alignment horizontal="left" vertical="center"/>
    </xf>
    <xf numFmtId="0" fontId="17" fillId="0" borderId="0" xfId="0" applyFont="1" applyAlignment="1">
      <alignment horizontal="left" vertical="center"/>
    </xf>
    <xf numFmtId="0" fontId="1" fillId="2" borderId="22" xfId="0" applyFont="1" applyFill="1" applyBorder="1" applyAlignment="1">
      <alignment vertical="top"/>
    </xf>
    <xf numFmtId="0" fontId="1" fillId="2" borderId="7" xfId="0" applyFont="1" applyFill="1" applyBorder="1" applyAlignment="1">
      <alignment vertical="top"/>
    </xf>
    <xf numFmtId="0" fontId="0" fillId="9" borderId="1" xfId="0" applyFill="1" applyBorder="1" applyAlignment="1">
      <alignment horizontal="center" vertical="top" wrapText="1"/>
    </xf>
    <xf numFmtId="0" fontId="0" fillId="9" borderId="2" xfId="0" applyFill="1" applyBorder="1" applyAlignment="1">
      <alignment horizontal="center" vertical="top" wrapText="1"/>
    </xf>
    <xf numFmtId="0" fontId="0" fillId="9" borderId="8" xfId="0" applyFill="1" applyBorder="1" applyAlignment="1">
      <alignment horizontal="center" vertical="top" wrapText="1"/>
    </xf>
    <xf numFmtId="0" fontId="0" fillId="9" borderId="4" xfId="0" applyFill="1" applyBorder="1" applyAlignment="1">
      <alignment horizontal="center" vertical="top" wrapText="1"/>
    </xf>
    <xf numFmtId="0" fontId="0" fillId="9" borderId="5" xfId="0" applyFill="1" applyBorder="1" applyAlignment="1">
      <alignment horizontal="center" vertical="top" wrapText="1"/>
    </xf>
    <xf numFmtId="0" fontId="0" fillId="9" borderId="10" xfId="0" applyFill="1" applyBorder="1" applyAlignment="1">
      <alignment horizontal="center" vertical="top" wrapText="1"/>
    </xf>
    <xf numFmtId="0" fontId="0" fillId="0" borderId="0" xfId="0" applyAlignment="1">
      <alignment horizontal="left" vertical="top" wrapText="1"/>
    </xf>
    <xf numFmtId="0" fontId="19" fillId="0" borderId="0" xfId="5" applyAlignment="1">
      <alignment horizontal="left" vertical="top" wrapText="1"/>
    </xf>
    <xf numFmtId="3" fontId="0" fillId="9" borderId="6" xfId="0" applyNumberFormat="1" applyFill="1" applyBorder="1"/>
    <xf numFmtId="3" fontId="0" fillId="9" borderId="11" xfId="0" applyNumberFormat="1" applyFill="1" applyBorder="1"/>
    <xf numFmtId="3" fontId="0" fillId="12" borderId="59" xfId="0" applyNumberFormat="1" applyFill="1" applyBorder="1"/>
    <xf numFmtId="3" fontId="0" fillId="12" borderId="50" xfId="0" applyNumberFormat="1" applyFill="1" applyBorder="1"/>
    <xf numFmtId="3" fontId="0" fillId="14" borderId="6" xfId="0" applyNumberFormat="1" applyFill="1" applyBorder="1"/>
    <xf numFmtId="3" fontId="0" fillId="14" borderId="11" xfId="0" applyNumberFormat="1" applyFill="1" applyBorder="1"/>
    <xf numFmtId="3" fontId="0" fillId="16" borderId="59" xfId="0" quotePrefix="1" applyNumberFormat="1" applyFill="1" applyBorder="1" applyAlignment="1">
      <alignment horizontal="left"/>
    </xf>
    <xf numFmtId="3" fontId="0" fillId="16" borderId="50" xfId="0" quotePrefix="1" applyNumberFormat="1" applyFill="1" applyBorder="1" applyAlignment="1">
      <alignment horizontal="left"/>
    </xf>
    <xf numFmtId="3" fontId="1" fillId="0" borderId="21" xfId="0" applyNumberFormat="1" applyFont="1" applyBorder="1" applyAlignment="1">
      <alignment horizontal="center"/>
    </xf>
    <xf numFmtId="0" fontId="1" fillId="0" borderId="16" xfId="0" applyFont="1" applyBorder="1" applyAlignment="1">
      <alignment horizontal="center"/>
    </xf>
    <xf numFmtId="0" fontId="1" fillId="0" borderId="15" xfId="0" applyFont="1" applyBorder="1" applyAlignment="1">
      <alignment horizontal="left"/>
    </xf>
    <xf numFmtId="0" fontId="1" fillId="0" borderId="16" xfId="0" applyFont="1" applyBorder="1" applyAlignment="1">
      <alignment horizontal="left"/>
    </xf>
    <xf numFmtId="0" fontId="1" fillId="0" borderId="21" xfId="0" applyFont="1" applyBorder="1" applyAlignment="1">
      <alignment horizontal="center"/>
    </xf>
    <xf numFmtId="0" fontId="20" fillId="0" borderId="0" xfId="0" applyFont="1" applyAlignment="1">
      <alignment horizontal="center"/>
    </xf>
  </cellXfs>
  <cellStyles count="6">
    <cellStyle name="ColLevel_1" xfId="1" builtinId="2" iLevel="0"/>
    <cellStyle name="Comma" xfId="2" builtinId="3"/>
    <cellStyle name="Hyperlink" xfId="5" builtinId="8"/>
    <cellStyle name="Input" xfId="3" builtinId="20"/>
    <cellStyle name="Normal" xfId="0" builtinId="0"/>
    <cellStyle name="Per cent" xfId="4" builtinId="5"/>
  </cellStyles>
  <dxfs count="20">
    <dxf>
      <font>
        <color theme="0" tint="-0.14996795556505021"/>
      </font>
      <fill>
        <patternFill>
          <bgColor theme="0" tint="-0.14996795556505021"/>
        </patternFill>
      </fill>
    </dxf>
    <dxf>
      <font>
        <color theme="9" tint="0.79998168889431442"/>
      </font>
    </dxf>
    <dxf>
      <font>
        <color theme="0" tint="-4.9989318521683403E-2"/>
      </font>
    </dxf>
    <dxf>
      <font>
        <color theme="8" tint="0.79998168889431442"/>
      </font>
    </dxf>
    <dxf>
      <font>
        <color theme="8" tint="0.79998168889431442"/>
      </font>
    </dxf>
    <dxf>
      <font>
        <color theme="1"/>
      </font>
    </dxf>
    <dxf>
      <fill>
        <patternFill>
          <bgColor theme="0"/>
        </patternFill>
      </fill>
    </dxf>
    <dxf>
      <fill>
        <patternFill patternType="solid">
          <bgColor theme="0"/>
        </patternFill>
      </fill>
    </dxf>
    <dxf>
      <font>
        <color theme="0"/>
      </font>
      <fill>
        <patternFill>
          <bgColor theme="0"/>
        </patternFill>
      </fill>
      <border>
        <left/>
        <right/>
        <top/>
        <bottom/>
        <vertical/>
        <horizontal/>
      </border>
    </dxf>
    <dxf>
      <font>
        <color theme="0"/>
      </font>
      <fill>
        <patternFill>
          <bgColor theme="0"/>
        </patternFill>
      </fill>
    </dxf>
    <dxf>
      <fill>
        <patternFill>
          <bgColor rgb="FFFF000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left style="medium">
          <color indexed="64"/>
        </left>
        <right style="medium">
          <color indexed="64"/>
        </right>
        <top style="medium">
          <color indexed="64"/>
        </top>
        <bottom style="medium">
          <color indexed="64"/>
        </bottom>
      </border>
    </dxf>
    <dxf>
      <fill>
        <patternFill patternType="solid">
          <fgColor indexed="64"/>
          <bgColor theme="0"/>
        </patternFill>
      </fill>
    </dxf>
    <dxf>
      <font>
        <b/>
        <i val="0"/>
        <strike val="0"/>
        <condense val="0"/>
        <extend val="0"/>
        <outline val="0"/>
        <shadow val="0"/>
        <u val="none"/>
        <vertAlign val="baseline"/>
        <sz val="11"/>
        <color theme="1"/>
        <name val="Calibri"/>
        <family val="2"/>
        <scheme val="minor"/>
      </font>
      <fill>
        <patternFill patternType="solid">
          <fgColor indexed="64"/>
          <bgColor theme="0"/>
        </patternFill>
      </fill>
    </dxf>
  </dxfs>
  <tableStyles count="1" defaultTableStyle="TableStyleMedium2" defaultPivotStyle="PivotStyleLight16">
    <tableStyle name="Table Style 1" pivot="0" count="0" xr9:uid="{8A370272-BAFA-41A2-AA37-19C1723F6826}"/>
  </tableStyles>
  <colors>
    <mruColors>
      <color rgb="FF90D38B"/>
      <color rgb="FFC0E4BA"/>
      <color rgb="FF99FF66"/>
      <color rgb="FF339933"/>
      <color rgb="FFCCFF33"/>
      <color rgb="FFCCFF99"/>
      <color rgb="FFCCFFCC"/>
      <color rgb="FFFFCC00"/>
      <color rgb="FFCCCC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479773</xdr:colOff>
      <xdr:row>2</xdr:row>
      <xdr:rowOff>28221</xdr:rowOff>
    </xdr:from>
    <xdr:to>
      <xdr:col>3</xdr:col>
      <xdr:colOff>723192</xdr:colOff>
      <xdr:row>2</xdr:row>
      <xdr:rowOff>278697</xdr:rowOff>
    </xdr:to>
    <xdr:sp macro="" textlink="">
      <xdr:nvSpPr>
        <xdr:cNvPr id="2" name="Graphic 37" descr="Information with solid fill">
          <a:extLst>
            <a:ext uri="{FF2B5EF4-FFF2-40B4-BE49-F238E27FC236}">
              <a16:creationId xmlns:a16="http://schemas.microsoft.com/office/drawing/2014/main" id="{82B5D3D6-0C87-4B4B-BC25-4C2D3BEF71B6}"/>
            </a:ext>
          </a:extLst>
        </xdr:cNvPr>
        <xdr:cNvSpPr>
          <a:spLocks noChangeAspect="1"/>
        </xdr:cNvSpPr>
      </xdr:nvSpPr>
      <xdr:spPr>
        <a:xfrm>
          <a:off x="5891384" y="987777"/>
          <a:ext cx="243419" cy="250476"/>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editAs="oneCell">
    <xdr:from>
      <xdr:col>3</xdr:col>
      <xdr:colOff>254000</xdr:colOff>
      <xdr:row>1</xdr:row>
      <xdr:rowOff>143565</xdr:rowOff>
    </xdr:from>
    <xdr:to>
      <xdr:col>7</xdr:col>
      <xdr:colOff>544969</xdr:colOff>
      <xdr:row>1</xdr:row>
      <xdr:rowOff>333133</xdr:rowOff>
    </xdr:to>
    <xdr:pic>
      <xdr:nvPicPr>
        <xdr:cNvPr id="4" name="Picture 3">
          <a:extLst>
            <a:ext uri="{FF2B5EF4-FFF2-40B4-BE49-F238E27FC236}">
              <a16:creationId xmlns:a16="http://schemas.microsoft.com/office/drawing/2014/main" id="{C2DF0286-0002-CE5C-33B1-1B3A864F81B3}"/>
            </a:ext>
          </a:extLst>
        </xdr:cNvPr>
        <xdr:cNvPicPr>
          <a:picLocks noChangeAspect="1"/>
        </xdr:cNvPicPr>
      </xdr:nvPicPr>
      <xdr:blipFill rotWithShape="1">
        <a:blip xmlns:r="http://schemas.openxmlformats.org/officeDocument/2006/relationships" r:embed="rId1"/>
        <a:srcRect b="26486"/>
        <a:stretch>
          <a:fillRect/>
        </a:stretch>
      </xdr:blipFill>
      <xdr:spPr>
        <a:xfrm>
          <a:off x="5665304" y="381000"/>
          <a:ext cx="3647880" cy="189568"/>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twoCellAnchor>
    <xdr:from>
      <xdr:col>3</xdr:col>
      <xdr:colOff>336825</xdr:colOff>
      <xdr:row>4</xdr:row>
      <xdr:rowOff>0</xdr:rowOff>
    </xdr:from>
    <xdr:to>
      <xdr:col>7</xdr:col>
      <xdr:colOff>44172</xdr:colOff>
      <xdr:row>8</xdr:row>
      <xdr:rowOff>60851</xdr:rowOff>
    </xdr:to>
    <xdr:grpSp>
      <xdr:nvGrpSpPr>
        <xdr:cNvPr id="14" name="Group 13">
          <a:extLst>
            <a:ext uri="{FF2B5EF4-FFF2-40B4-BE49-F238E27FC236}">
              <a16:creationId xmlns:a16="http://schemas.microsoft.com/office/drawing/2014/main" id="{E330BE31-EFD2-9B58-6AAA-73BE6DAC2F94}"/>
            </a:ext>
          </a:extLst>
        </xdr:cNvPr>
        <xdr:cNvGrpSpPr/>
      </xdr:nvGrpSpPr>
      <xdr:grpSpPr>
        <a:xfrm>
          <a:off x="6242325" y="1571625"/>
          <a:ext cx="3390347" cy="1680101"/>
          <a:chOff x="5748129" y="1609425"/>
          <a:chExt cx="3141869" cy="1924600"/>
        </a:xfrm>
      </xdr:grpSpPr>
      <xdr:pic>
        <xdr:nvPicPr>
          <xdr:cNvPr id="9" name="Picture 8">
            <a:extLst>
              <a:ext uri="{FF2B5EF4-FFF2-40B4-BE49-F238E27FC236}">
                <a16:creationId xmlns:a16="http://schemas.microsoft.com/office/drawing/2014/main" id="{ECBB3247-3542-E261-0819-97BB52C77BFB}"/>
              </a:ext>
            </a:extLst>
          </xdr:cNvPr>
          <xdr:cNvPicPr>
            <a:picLocks noChangeAspect="1"/>
          </xdr:cNvPicPr>
        </xdr:nvPicPr>
        <xdr:blipFill>
          <a:blip xmlns:r="http://schemas.openxmlformats.org/officeDocument/2006/relationships" r:embed="rId2"/>
          <a:stretch>
            <a:fillRect/>
          </a:stretch>
        </xdr:blipFill>
        <xdr:spPr>
          <a:xfrm>
            <a:off x="5748129" y="1609425"/>
            <a:ext cx="3141869" cy="1924600"/>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xnSp macro="">
        <xdr:nvCxnSpPr>
          <xdr:cNvPr id="13" name="Straight Arrow Connector 12">
            <a:extLst>
              <a:ext uri="{FF2B5EF4-FFF2-40B4-BE49-F238E27FC236}">
                <a16:creationId xmlns:a16="http://schemas.microsoft.com/office/drawing/2014/main" id="{2759AE6D-C0DD-C544-82E4-22B9771853E6}"/>
              </a:ext>
            </a:extLst>
          </xdr:cNvPr>
          <xdr:cNvCxnSpPr/>
        </xdr:nvCxnSpPr>
        <xdr:spPr>
          <a:xfrm flipV="1">
            <a:off x="7222435" y="1916043"/>
            <a:ext cx="309217" cy="92213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377724</xdr:colOff>
      <xdr:row>10</xdr:row>
      <xdr:rowOff>93867</xdr:rowOff>
    </xdr:from>
    <xdr:to>
      <xdr:col>8</xdr:col>
      <xdr:colOff>44174</xdr:colOff>
      <xdr:row>14</xdr:row>
      <xdr:rowOff>55216</xdr:rowOff>
    </xdr:to>
    <xdr:grpSp>
      <xdr:nvGrpSpPr>
        <xdr:cNvPr id="18" name="Group 17">
          <a:extLst>
            <a:ext uri="{FF2B5EF4-FFF2-40B4-BE49-F238E27FC236}">
              <a16:creationId xmlns:a16="http://schemas.microsoft.com/office/drawing/2014/main" id="{E7D0E964-30A5-3394-BD91-C010BAABF228}"/>
            </a:ext>
          </a:extLst>
        </xdr:cNvPr>
        <xdr:cNvGrpSpPr/>
      </xdr:nvGrpSpPr>
      <xdr:grpSpPr>
        <a:xfrm>
          <a:off x="6283224" y="3665742"/>
          <a:ext cx="4016200" cy="945599"/>
          <a:chOff x="5789028" y="3931476"/>
          <a:chExt cx="3708363" cy="877957"/>
        </a:xfrm>
      </xdr:grpSpPr>
      <xdr:pic>
        <xdr:nvPicPr>
          <xdr:cNvPr id="15" name="Picture 14">
            <a:extLst>
              <a:ext uri="{FF2B5EF4-FFF2-40B4-BE49-F238E27FC236}">
                <a16:creationId xmlns:a16="http://schemas.microsoft.com/office/drawing/2014/main" id="{C1F664FC-A3A9-AF25-8116-15E76D6F09BA}"/>
              </a:ext>
            </a:extLst>
          </xdr:cNvPr>
          <xdr:cNvPicPr>
            <a:picLocks noChangeAspect="1"/>
          </xdr:cNvPicPr>
        </xdr:nvPicPr>
        <xdr:blipFill rotWithShape="1">
          <a:blip xmlns:r="http://schemas.openxmlformats.org/officeDocument/2006/relationships" r:embed="rId3"/>
          <a:srcRect r="15523"/>
          <a:stretch>
            <a:fillRect/>
          </a:stretch>
        </xdr:blipFill>
        <xdr:spPr>
          <a:xfrm>
            <a:off x="5789028" y="3931476"/>
            <a:ext cx="3708363" cy="877957"/>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xnSp macro="">
        <xdr:nvCxnSpPr>
          <xdr:cNvPr id="16" name="Straight Arrow Connector 15">
            <a:extLst>
              <a:ext uri="{FF2B5EF4-FFF2-40B4-BE49-F238E27FC236}">
                <a16:creationId xmlns:a16="http://schemas.microsoft.com/office/drawing/2014/main" id="{FA05A482-9EB1-4908-84B1-6C18FBFC3EB9}"/>
              </a:ext>
            </a:extLst>
          </xdr:cNvPr>
          <xdr:cNvCxnSpPr/>
        </xdr:nvCxnSpPr>
        <xdr:spPr>
          <a:xfrm flipH="1">
            <a:off x="6062868" y="4627218"/>
            <a:ext cx="789611" cy="6333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144991</xdr:colOff>
      <xdr:row>155</xdr:row>
      <xdr:rowOff>41130</xdr:rowOff>
    </xdr:from>
    <xdr:to>
      <xdr:col>4</xdr:col>
      <xdr:colOff>270991</xdr:colOff>
      <xdr:row>155</xdr:row>
      <xdr:rowOff>168459</xdr:rowOff>
    </xdr:to>
    <xdr:sp macro="" textlink="">
      <xdr:nvSpPr>
        <xdr:cNvPr id="40" name="Graphic 37" descr="Information with solid fill">
          <a:extLst>
            <a:ext uri="{FF2B5EF4-FFF2-40B4-BE49-F238E27FC236}">
              <a16:creationId xmlns:a16="http://schemas.microsoft.com/office/drawing/2014/main" id="{9A291D86-06C9-48BC-ACAA-F802F73EA034}"/>
            </a:ext>
          </a:extLst>
        </xdr:cNvPr>
        <xdr:cNvSpPr>
          <a:spLocks noChangeAspect="1"/>
        </xdr:cNvSpPr>
      </xdr:nvSpPr>
      <xdr:spPr>
        <a:xfrm>
          <a:off x="3640666" y="1610980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123825</xdr:colOff>
      <xdr:row>36</xdr:row>
      <xdr:rowOff>51501</xdr:rowOff>
    </xdr:from>
    <xdr:to>
      <xdr:col>4</xdr:col>
      <xdr:colOff>249825</xdr:colOff>
      <xdr:row>36</xdr:row>
      <xdr:rowOff>178830</xdr:rowOff>
    </xdr:to>
    <xdr:sp macro="" textlink="">
      <xdr:nvSpPr>
        <xdr:cNvPr id="26" name="Graphic 37" descr="Information with solid fill">
          <a:extLst>
            <a:ext uri="{FF2B5EF4-FFF2-40B4-BE49-F238E27FC236}">
              <a16:creationId xmlns:a16="http://schemas.microsoft.com/office/drawing/2014/main" id="{C2158132-5FCB-455D-8DF1-EBA85DEAF1D8}"/>
            </a:ext>
          </a:extLst>
        </xdr:cNvPr>
        <xdr:cNvSpPr>
          <a:spLocks noChangeAspect="1"/>
        </xdr:cNvSpPr>
      </xdr:nvSpPr>
      <xdr:spPr>
        <a:xfrm>
          <a:off x="3619500" y="6490401"/>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141817</xdr:colOff>
      <xdr:row>153</xdr:row>
      <xdr:rowOff>47707</xdr:rowOff>
    </xdr:from>
    <xdr:to>
      <xdr:col>4</xdr:col>
      <xdr:colOff>267817</xdr:colOff>
      <xdr:row>153</xdr:row>
      <xdr:rowOff>175036</xdr:rowOff>
    </xdr:to>
    <xdr:sp macro="" textlink="">
      <xdr:nvSpPr>
        <xdr:cNvPr id="38" name="Graphic 37" descr="Information with solid fill">
          <a:extLst>
            <a:ext uri="{FF2B5EF4-FFF2-40B4-BE49-F238E27FC236}">
              <a16:creationId xmlns:a16="http://schemas.microsoft.com/office/drawing/2014/main" id="{7FE15C49-35A8-400B-A72B-B9B0AEB52154}"/>
            </a:ext>
          </a:extLst>
        </xdr:cNvPr>
        <xdr:cNvSpPr>
          <a:spLocks noChangeAspect="1"/>
        </xdr:cNvSpPr>
      </xdr:nvSpPr>
      <xdr:spPr>
        <a:xfrm>
          <a:off x="3637492" y="29451382"/>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141816</xdr:colOff>
      <xdr:row>154</xdr:row>
      <xdr:rowOff>48646</xdr:rowOff>
    </xdr:from>
    <xdr:to>
      <xdr:col>4</xdr:col>
      <xdr:colOff>267816</xdr:colOff>
      <xdr:row>154</xdr:row>
      <xdr:rowOff>175975</xdr:rowOff>
    </xdr:to>
    <xdr:sp macro="" textlink="">
      <xdr:nvSpPr>
        <xdr:cNvPr id="39" name="Graphic 37" descr="Information with solid fill">
          <a:extLst>
            <a:ext uri="{FF2B5EF4-FFF2-40B4-BE49-F238E27FC236}">
              <a16:creationId xmlns:a16="http://schemas.microsoft.com/office/drawing/2014/main" id="{C92EEF37-CD42-453F-B0BE-DBA7DD2D3471}"/>
            </a:ext>
          </a:extLst>
        </xdr:cNvPr>
        <xdr:cNvSpPr>
          <a:spLocks noChangeAspect="1"/>
        </xdr:cNvSpPr>
      </xdr:nvSpPr>
      <xdr:spPr>
        <a:xfrm>
          <a:off x="3637491" y="29642821"/>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114300</xdr:colOff>
      <xdr:row>158</xdr:row>
      <xdr:rowOff>93746</xdr:rowOff>
    </xdr:from>
    <xdr:to>
      <xdr:col>4</xdr:col>
      <xdr:colOff>256800</xdr:colOff>
      <xdr:row>158</xdr:row>
      <xdr:rowOff>237749</xdr:rowOff>
    </xdr:to>
    <xdr:sp macro="" textlink="">
      <xdr:nvSpPr>
        <xdr:cNvPr id="41" name="Graphic 37" descr="Information with solid fill">
          <a:extLst>
            <a:ext uri="{FF2B5EF4-FFF2-40B4-BE49-F238E27FC236}">
              <a16:creationId xmlns:a16="http://schemas.microsoft.com/office/drawing/2014/main" id="{F8758FD4-7DE7-4ACC-B4EA-AB5010F5A826}"/>
            </a:ext>
          </a:extLst>
        </xdr:cNvPr>
        <xdr:cNvSpPr>
          <a:spLocks noChangeAspect="1"/>
        </xdr:cNvSpPr>
      </xdr:nvSpPr>
      <xdr:spPr>
        <a:xfrm>
          <a:off x="3609975" y="30497546"/>
          <a:ext cx="142500" cy="144003"/>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117476</xdr:colOff>
      <xdr:row>4</xdr:row>
      <xdr:rowOff>42333</xdr:rowOff>
    </xdr:from>
    <xdr:to>
      <xdr:col>4</xdr:col>
      <xdr:colOff>266325</xdr:colOff>
      <xdr:row>13</xdr:row>
      <xdr:rowOff>1406</xdr:rowOff>
    </xdr:to>
    <xdr:grpSp>
      <xdr:nvGrpSpPr>
        <xdr:cNvPr id="33" name="Group 32">
          <a:extLst>
            <a:ext uri="{FF2B5EF4-FFF2-40B4-BE49-F238E27FC236}">
              <a16:creationId xmlns:a16="http://schemas.microsoft.com/office/drawing/2014/main" id="{B31C615B-7055-0FF7-36FE-25A027C859AD}"/>
            </a:ext>
          </a:extLst>
        </xdr:cNvPr>
        <xdr:cNvGrpSpPr>
          <a:grpSpLocks/>
        </xdr:cNvGrpSpPr>
      </xdr:nvGrpSpPr>
      <xdr:grpSpPr>
        <a:xfrm>
          <a:off x="4117976" y="232833"/>
          <a:ext cx="148849" cy="1673573"/>
          <a:chOff x="3679093" y="241928"/>
          <a:chExt cx="148849" cy="1598055"/>
        </a:xfrm>
      </xdr:grpSpPr>
      <xdr:sp macro="" textlink="">
        <xdr:nvSpPr>
          <xdr:cNvPr id="10" name="Graphic 44" descr="Information with solid fill">
            <a:extLst>
              <a:ext uri="{FF2B5EF4-FFF2-40B4-BE49-F238E27FC236}">
                <a16:creationId xmlns:a16="http://schemas.microsoft.com/office/drawing/2014/main" id="{3F43E4B5-BF0B-4FF3-AAA1-4CF7F67EA6E1}"/>
              </a:ext>
            </a:extLst>
          </xdr:cNvPr>
          <xdr:cNvSpPr>
            <a:spLocks noChangeAspect="1"/>
          </xdr:cNvSpPr>
        </xdr:nvSpPr>
        <xdr:spPr>
          <a:xfrm>
            <a:off x="3683326" y="785973"/>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2" name="Group 31">
            <a:extLst>
              <a:ext uri="{FF2B5EF4-FFF2-40B4-BE49-F238E27FC236}">
                <a16:creationId xmlns:a16="http://schemas.microsoft.com/office/drawing/2014/main" id="{BF88C37C-3349-FDAB-9419-438921C28B5F}"/>
              </a:ext>
            </a:extLst>
          </xdr:cNvPr>
          <xdr:cNvGrpSpPr/>
        </xdr:nvGrpSpPr>
        <xdr:grpSpPr>
          <a:xfrm>
            <a:off x="3679093" y="241928"/>
            <a:ext cx="148849" cy="1598055"/>
            <a:chOff x="3679093" y="241928"/>
            <a:chExt cx="148849" cy="1598055"/>
          </a:xfrm>
        </xdr:grpSpPr>
        <xdr:sp macro="" textlink="">
          <xdr:nvSpPr>
            <xdr:cNvPr id="6" name="Graphic 44" descr="Information with solid fill">
              <a:extLst>
                <a:ext uri="{FF2B5EF4-FFF2-40B4-BE49-F238E27FC236}">
                  <a16:creationId xmlns:a16="http://schemas.microsoft.com/office/drawing/2014/main" id="{30D4BF0B-806C-4B42-8E4B-77728143D65F}"/>
                </a:ext>
              </a:extLst>
            </xdr:cNvPr>
            <xdr:cNvSpPr>
              <a:spLocks noChangeAspect="1"/>
            </xdr:cNvSpPr>
          </xdr:nvSpPr>
          <xdr:spPr>
            <a:xfrm>
              <a:off x="3685442" y="600505"/>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1" name="Group 30">
              <a:extLst>
                <a:ext uri="{FF2B5EF4-FFF2-40B4-BE49-F238E27FC236}">
                  <a16:creationId xmlns:a16="http://schemas.microsoft.com/office/drawing/2014/main" id="{72C45FF4-0DD6-3349-0E17-E0A4733AA8FC}"/>
                </a:ext>
              </a:extLst>
            </xdr:cNvPr>
            <xdr:cNvGrpSpPr/>
          </xdr:nvGrpSpPr>
          <xdr:grpSpPr>
            <a:xfrm>
              <a:off x="3679093" y="241928"/>
              <a:ext cx="147942" cy="1598055"/>
              <a:chOff x="3679093" y="241928"/>
              <a:chExt cx="147942" cy="1598055"/>
            </a:xfrm>
          </xdr:grpSpPr>
          <xdr:sp macro="" textlink="">
            <xdr:nvSpPr>
              <xdr:cNvPr id="17" name="Graphic 44" descr="Information with solid fill">
                <a:extLst>
                  <a:ext uri="{FF2B5EF4-FFF2-40B4-BE49-F238E27FC236}">
                    <a16:creationId xmlns:a16="http://schemas.microsoft.com/office/drawing/2014/main" id="{78F959A3-4A08-414F-8A7F-F50AC114C038}"/>
                  </a:ext>
                </a:extLst>
              </xdr:cNvPr>
              <xdr:cNvSpPr>
                <a:spLocks noChangeAspect="1"/>
              </xdr:cNvSpPr>
            </xdr:nvSpPr>
            <xdr:spPr>
              <a:xfrm>
                <a:off x="3684535" y="1326805"/>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8" name="Graphic 44" descr="Information with solid fill">
                <a:extLst>
                  <a:ext uri="{FF2B5EF4-FFF2-40B4-BE49-F238E27FC236}">
                    <a16:creationId xmlns:a16="http://schemas.microsoft.com/office/drawing/2014/main" id="{AA228E3A-84C9-4116-B97F-61DF878244DC}"/>
                  </a:ext>
                </a:extLst>
              </xdr:cNvPr>
              <xdr:cNvSpPr>
                <a:spLocks noChangeAspect="1"/>
              </xdr:cNvSpPr>
            </xdr:nvSpPr>
            <xdr:spPr>
              <a:xfrm>
                <a:off x="3684533" y="1512643"/>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nvGrpSpPr>
              <xdr:cNvPr id="30" name="Group 29">
                <a:extLst>
                  <a:ext uri="{FF2B5EF4-FFF2-40B4-BE49-F238E27FC236}">
                    <a16:creationId xmlns:a16="http://schemas.microsoft.com/office/drawing/2014/main" id="{AE6BCA5E-08CC-1A88-E88D-5630293CC1D8}"/>
                  </a:ext>
                </a:extLst>
              </xdr:cNvPr>
              <xdr:cNvGrpSpPr/>
            </xdr:nvGrpSpPr>
            <xdr:grpSpPr>
              <a:xfrm>
                <a:off x="3679093" y="241928"/>
                <a:ext cx="146733" cy="1598055"/>
                <a:chOff x="3679093" y="241928"/>
                <a:chExt cx="146733" cy="1598055"/>
              </a:xfrm>
            </xdr:grpSpPr>
            <xdr:sp macro="" textlink="">
              <xdr:nvSpPr>
                <xdr:cNvPr id="8" name="Graphic 44" descr="Information with solid fill">
                  <a:extLst>
                    <a:ext uri="{FF2B5EF4-FFF2-40B4-BE49-F238E27FC236}">
                      <a16:creationId xmlns:a16="http://schemas.microsoft.com/office/drawing/2014/main" id="{8C7599EC-8C2F-4994-8192-55AE198B2BD8}"/>
                    </a:ext>
                  </a:extLst>
                </xdr:cNvPr>
                <xdr:cNvSpPr>
                  <a:spLocks noChangeAspect="1"/>
                </xdr:cNvSpPr>
              </xdr:nvSpPr>
              <xdr:spPr>
                <a:xfrm>
                  <a:off x="3683326" y="241928"/>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9" name="Graphic 44" descr="Information with solid fill">
                  <a:extLst>
                    <a:ext uri="{FF2B5EF4-FFF2-40B4-BE49-F238E27FC236}">
                      <a16:creationId xmlns:a16="http://schemas.microsoft.com/office/drawing/2014/main" id="{05104BDA-9C8D-4033-B8E1-21EEF06D73E5}"/>
                    </a:ext>
                  </a:extLst>
                </xdr:cNvPr>
                <xdr:cNvSpPr>
                  <a:spLocks noChangeAspect="1"/>
                </xdr:cNvSpPr>
              </xdr:nvSpPr>
              <xdr:spPr>
                <a:xfrm>
                  <a:off x="3683326" y="417672"/>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1" name="Graphic 44" descr="Information with solid fill">
                  <a:extLst>
                    <a:ext uri="{FF2B5EF4-FFF2-40B4-BE49-F238E27FC236}">
                      <a16:creationId xmlns:a16="http://schemas.microsoft.com/office/drawing/2014/main" id="{5EFA9FB7-8563-4807-8FE6-FF8A82B07BC1}"/>
                    </a:ext>
                  </a:extLst>
                </xdr:cNvPr>
                <xdr:cNvSpPr>
                  <a:spLocks noChangeAspect="1"/>
                </xdr:cNvSpPr>
              </xdr:nvSpPr>
              <xdr:spPr>
                <a:xfrm>
                  <a:off x="3679093" y="967636"/>
                  <a:ext cx="142500" cy="14885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12" name="Graphic 44" descr="Information with solid fill">
                  <a:extLst>
                    <a:ext uri="{FF2B5EF4-FFF2-40B4-BE49-F238E27FC236}">
                      <a16:creationId xmlns:a16="http://schemas.microsoft.com/office/drawing/2014/main" id="{D252E8B7-E9F3-4A1B-BD2E-86D91D20B253}"/>
                    </a:ext>
                  </a:extLst>
                </xdr:cNvPr>
                <xdr:cNvSpPr>
                  <a:spLocks noChangeAspect="1"/>
                </xdr:cNvSpPr>
              </xdr:nvSpPr>
              <xdr:spPr>
                <a:xfrm>
                  <a:off x="3682419" y="1156328"/>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sp macro="" textlink="">
              <xdr:nvSpPr>
                <xdr:cNvPr id="4" name="Graphic 44" descr="Information with solid fill">
                  <a:extLst>
                    <a:ext uri="{FF2B5EF4-FFF2-40B4-BE49-F238E27FC236}">
                      <a16:creationId xmlns:a16="http://schemas.microsoft.com/office/drawing/2014/main" id="{0B7A7268-1DBA-4F28-B07A-85A69449750A}"/>
                    </a:ext>
                  </a:extLst>
                </xdr:cNvPr>
                <xdr:cNvSpPr>
                  <a:spLocks noChangeAspect="1"/>
                </xdr:cNvSpPr>
              </xdr:nvSpPr>
              <xdr:spPr>
                <a:xfrm>
                  <a:off x="3681358" y="1697483"/>
                  <a:ext cx="142500" cy="142500"/>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grpSp>
        </xdr:grpSp>
      </xdr:grpSp>
    </xdr:grpSp>
    <xdr:clientData/>
  </xdr:twoCellAnchor>
  <xdr:twoCellAnchor>
    <xdr:from>
      <xdr:col>4</xdr:col>
      <xdr:colOff>122766</xdr:colOff>
      <xdr:row>121</xdr:row>
      <xdr:rowOff>41129</xdr:rowOff>
    </xdr:from>
    <xdr:to>
      <xdr:col>4</xdr:col>
      <xdr:colOff>248766</xdr:colOff>
      <xdr:row>121</xdr:row>
      <xdr:rowOff>168458</xdr:rowOff>
    </xdr:to>
    <xdr:sp macro="" textlink="">
      <xdr:nvSpPr>
        <xdr:cNvPr id="44" name="Graphic 37" descr="Information with solid fill">
          <a:extLst>
            <a:ext uri="{FF2B5EF4-FFF2-40B4-BE49-F238E27FC236}">
              <a16:creationId xmlns:a16="http://schemas.microsoft.com/office/drawing/2014/main" id="{3D4B7194-E87A-4A15-B442-880F8F47B599}"/>
            </a:ext>
          </a:extLst>
        </xdr:cNvPr>
        <xdr:cNvSpPr>
          <a:spLocks noChangeAspect="1"/>
        </xdr:cNvSpPr>
      </xdr:nvSpPr>
      <xdr:spPr>
        <a:xfrm>
          <a:off x="3618441" y="23082104"/>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9</xdr:col>
      <xdr:colOff>523874</xdr:colOff>
      <xdr:row>93</xdr:row>
      <xdr:rowOff>68121</xdr:rowOff>
    </xdr:from>
    <xdr:to>
      <xdr:col>9</xdr:col>
      <xdr:colOff>649874</xdr:colOff>
      <xdr:row>93</xdr:row>
      <xdr:rowOff>195450</xdr:rowOff>
    </xdr:to>
    <xdr:sp macro="" textlink="">
      <xdr:nvSpPr>
        <xdr:cNvPr id="47" name="Graphic 37" descr="Information with solid fill">
          <a:extLst>
            <a:ext uri="{FF2B5EF4-FFF2-40B4-BE49-F238E27FC236}">
              <a16:creationId xmlns:a16="http://schemas.microsoft.com/office/drawing/2014/main" id="{69F0FB96-EFB5-4D0F-91E1-1DC751E3D2A1}"/>
            </a:ext>
          </a:extLst>
        </xdr:cNvPr>
        <xdr:cNvSpPr>
          <a:spLocks noChangeAspect="1"/>
        </xdr:cNvSpPr>
      </xdr:nvSpPr>
      <xdr:spPr>
        <a:xfrm>
          <a:off x="6810374" y="1767984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1352550</xdr:colOff>
      <xdr:row>10</xdr:row>
      <xdr:rowOff>28575</xdr:rowOff>
    </xdr:from>
    <xdr:to>
      <xdr:col>5</xdr:col>
      <xdr:colOff>1495050</xdr:colOff>
      <xdr:row>10</xdr:row>
      <xdr:rowOff>184459</xdr:rowOff>
    </xdr:to>
    <xdr:sp macro="" textlink="">
      <xdr:nvSpPr>
        <xdr:cNvPr id="15" name="Graphic 44" descr="Information with solid fill">
          <a:extLst>
            <a:ext uri="{FF2B5EF4-FFF2-40B4-BE49-F238E27FC236}">
              <a16:creationId xmlns:a16="http://schemas.microsoft.com/office/drawing/2014/main" id="{D95F6B2D-F76E-4845-8EDD-7FD3344FF78D}"/>
            </a:ext>
          </a:extLst>
        </xdr:cNvPr>
        <xdr:cNvSpPr>
          <a:spLocks noChangeAspect="1"/>
        </xdr:cNvSpPr>
      </xdr:nvSpPr>
      <xdr:spPr>
        <a:xfrm>
          <a:off x="5124450" y="1362075"/>
          <a:ext cx="142500" cy="155884"/>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12</xdr:col>
      <xdr:colOff>238125</xdr:colOff>
      <xdr:row>18</xdr:row>
      <xdr:rowOff>31393</xdr:rowOff>
    </xdr:from>
    <xdr:to>
      <xdr:col>12</xdr:col>
      <xdr:colOff>364125</xdr:colOff>
      <xdr:row>18</xdr:row>
      <xdr:rowOff>158722</xdr:rowOff>
    </xdr:to>
    <xdr:sp macro="" textlink="">
      <xdr:nvSpPr>
        <xdr:cNvPr id="22" name="Graphic 37" descr="Information with solid fill">
          <a:extLst>
            <a:ext uri="{FF2B5EF4-FFF2-40B4-BE49-F238E27FC236}">
              <a16:creationId xmlns:a16="http://schemas.microsoft.com/office/drawing/2014/main" id="{37C83106-3727-4E51-9486-BA84E585D16F}"/>
            </a:ext>
          </a:extLst>
        </xdr:cNvPr>
        <xdr:cNvSpPr>
          <a:spLocks noChangeAspect="1"/>
        </xdr:cNvSpPr>
      </xdr:nvSpPr>
      <xdr:spPr>
        <a:xfrm>
          <a:off x="8673042"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13</xdr:col>
      <xdr:colOff>819150</xdr:colOff>
      <xdr:row>18</xdr:row>
      <xdr:rowOff>31393</xdr:rowOff>
    </xdr:from>
    <xdr:to>
      <xdr:col>13</xdr:col>
      <xdr:colOff>945150</xdr:colOff>
      <xdr:row>18</xdr:row>
      <xdr:rowOff>158722</xdr:rowOff>
    </xdr:to>
    <xdr:sp macro="" textlink="">
      <xdr:nvSpPr>
        <xdr:cNvPr id="23" name="Graphic 37" descr="Information with solid fill">
          <a:extLst>
            <a:ext uri="{FF2B5EF4-FFF2-40B4-BE49-F238E27FC236}">
              <a16:creationId xmlns:a16="http://schemas.microsoft.com/office/drawing/2014/main" id="{A7F7F042-A4E0-44D7-B2FE-18A009F1D7FC}"/>
            </a:ext>
          </a:extLst>
        </xdr:cNvPr>
        <xdr:cNvSpPr>
          <a:spLocks noChangeAspect="1"/>
        </xdr:cNvSpPr>
      </xdr:nvSpPr>
      <xdr:spPr>
        <a:xfrm>
          <a:off x="9635067"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11</xdr:col>
      <xdr:colOff>647700</xdr:colOff>
      <xdr:row>18</xdr:row>
      <xdr:rowOff>31393</xdr:rowOff>
    </xdr:from>
    <xdr:to>
      <xdr:col>11</xdr:col>
      <xdr:colOff>773700</xdr:colOff>
      <xdr:row>18</xdr:row>
      <xdr:rowOff>158722</xdr:rowOff>
    </xdr:to>
    <xdr:sp macro="" textlink="">
      <xdr:nvSpPr>
        <xdr:cNvPr id="24" name="Graphic 37" descr="Information with solid fill">
          <a:extLst>
            <a:ext uri="{FF2B5EF4-FFF2-40B4-BE49-F238E27FC236}">
              <a16:creationId xmlns:a16="http://schemas.microsoft.com/office/drawing/2014/main" id="{0A8A4C55-2143-4F40-8B64-D938F4BDCACD}"/>
            </a:ext>
          </a:extLst>
        </xdr:cNvPr>
        <xdr:cNvSpPr>
          <a:spLocks noChangeAspect="1"/>
        </xdr:cNvSpPr>
      </xdr:nvSpPr>
      <xdr:spPr>
        <a:xfrm>
          <a:off x="8299450" y="299472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10</xdr:col>
      <xdr:colOff>590550</xdr:colOff>
      <xdr:row>18</xdr:row>
      <xdr:rowOff>37042</xdr:rowOff>
    </xdr:from>
    <xdr:to>
      <xdr:col>10</xdr:col>
      <xdr:colOff>716550</xdr:colOff>
      <xdr:row>18</xdr:row>
      <xdr:rowOff>164371</xdr:rowOff>
    </xdr:to>
    <xdr:sp macro="" textlink="">
      <xdr:nvSpPr>
        <xdr:cNvPr id="27" name="Graphic 37" descr="Information with solid fill">
          <a:extLst>
            <a:ext uri="{FF2B5EF4-FFF2-40B4-BE49-F238E27FC236}">
              <a16:creationId xmlns:a16="http://schemas.microsoft.com/office/drawing/2014/main" id="{B0E29DA4-5A90-40C9-829B-A719F086AF42}"/>
            </a:ext>
          </a:extLst>
        </xdr:cNvPr>
        <xdr:cNvSpPr>
          <a:spLocks noChangeAspect="1"/>
        </xdr:cNvSpPr>
      </xdr:nvSpPr>
      <xdr:spPr>
        <a:xfrm>
          <a:off x="7522633"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9</xdr:col>
      <xdr:colOff>523875</xdr:colOff>
      <xdr:row>18</xdr:row>
      <xdr:rowOff>37042</xdr:rowOff>
    </xdr:from>
    <xdr:to>
      <xdr:col>9</xdr:col>
      <xdr:colOff>649875</xdr:colOff>
      <xdr:row>18</xdr:row>
      <xdr:rowOff>164371</xdr:rowOff>
    </xdr:to>
    <xdr:sp macro="" textlink="">
      <xdr:nvSpPr>
        <xdr:cNvPr id="29" name="Graphic 37" descr="Information with solid fill">
          <a:extLst>
            <a:ext uri="{FF2B5EF4-FFF2-40B4-BE49-F238E27FC236}">
              <a16:creationId xmlns:a16="http://schemas.microsoft.com/office/drawing/2014/main" id="{A7B5F158-C8EC-4931-A7BF-7C0FCBD81074}"/>
            </a:ext>
          </a:extLst>
        </xdr:cNvPr>
        <xdr:cNvSpPr>
          <a:spLocks noChangeAspect="1"/>
        </xdr:cNvSpPr>
      </xdr:nvSpPr>
      <xdr:spPr>
        <a:xfrm>
          <a:off x="6799792"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8</xdr:col>
      <xdr:colOff>876300</xdr:colOff>
      <xdr:row>18</xdr:row>
      <xdr:rowOff>37042</xdr:rowOff>
    </xdr:from>
    <xdr:to>
      <xdr:col>8</xdr:col>
      <xdr:colOff>1002300</xdr:colOff>
      <xdr:row>18</xdr:row>
      <xdr:rowOff>164371</xdr:rowOff>
    </xdr:to>
    <xdr:sp macro="" textlink="">
      <xdr:nvSpPr>
        <xdr:cNvPr id="42" name="Graphic 37" descr="Information with solid fill">
          <a:extLst>
            <a:ext uri="{FF2B5EF4-FFF2-40B4-BE49-F238E27FC236}">
              <a16:creationId xmlns:a16="http://schemas.microsoft.com/office/drawing/2014/main" id="{83F87566-02A5-46DB-9EEF-1398C1755972}"/>
            </a:ext>
          </a:extLst>
        </xdr:cNvPr>
        <xdr:cNvSpPr>
          <a:spLocks noChangeAspect="1"/>
        </xdr:cNvSpPr>
      </xdr:nvSpPr>
      <xdr:spPr>
        <a:xfrm>
          <a:off x="6146800"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1371600</xdr:colOff>
      <xdr:row>18</xdr:row>
      <xdr:rowOff>47625</xdr:rowOff>
    </xdr:from>
    <xdr:to>
      <xdr:col>5</xdr:col>
      <xdr:colOff>1497600</xdr:colOff>
      <xdr:row>18</xdr:row>
      <xdr:rowOff>174954</xdr:rowOff>
    </xdr:to>
    <xdr:sp macro="" textlink="">
      <xdr:nvSpPr>
        <xdr:cNvPr id="43" name="Graphic 37" descr="Information with solid fill">
          <a:extLst>
            <a:ext uri="{FF2B5EF4-FFF2-40B4-BE49-F238E27FC236}">
              <a16:creationId xmlns:a16="http://schemas.microsoft.com/office/drawing/2014/main" id="{591448EF-95BF-4E97-91BD-339B7B4CCCB0}"/>
            </a:ext>
          </a:extLst>
        </xdr:cNvPr>
        <xdr:cNvSpPr>
          <a:spLocks noChangeAspect="1"/>
        </xdr:cNvSpPr>
      </xdr:nvSpPr>
      <xdr:spPr>
        <a:xfrm>
          <a:off x="5139267" y="3010958"/>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142875</xdr:colOff>
      <xdr:row>18</xdr:row>
      <xdr:rowOff>37042</xdr:rowOff>
    </xdr:from>
    <xdr:to>
      <xdr:col>4</xdr:col>
      <xdr:colOff>268875</xdr:colOff>
      <xdr:row>18</xdr:row>
      <xdr:rowOff>164371</xdr:rowOff>
    </xdr:to>
    <xdr:sp macro="" textlink="">
      <xdr:nvSpPr>
        <xdr:cNvPr id="46" name="Graphic 37" descr="Information with solid fill">
          <a:extLst>
            <a:ext uri="{FF2B5EF4-FFF2-40B4-BE49-F238E27FC236}">
              <a16:creationId xmlns:a16="http://schemas.microsoft.com/office/drawing/2014/main" id="{00F55826-C6D2-4810-8C2E-625D90B942CE}"/>
            </a:ext>
          </a:extLst>
        </xdr:cNvPr>
        <xdr:cNvSpPr>
          <a:spLocks noChangeAspect="1"/>
        </xdr:cNvSpPr>
      </xdr:nvSpPr>
      <xdr:spPr>
        <a:xfrm>
          <a:off x="3635375" y="30003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118</xdr:row>
      <xdr:rowOff>38100</xdr:rowOff>
    </xdr:from>
    <xdr:to>
      <xdr:col>2</xdr:col>
      <xdr:colOff>945150</xdr:colOff>
      <xdr:row>118</xdr:row>
      <xdr:rowOff>165429</xdr:rowOff>
    </xdr:to>
    <xdr:sp macro="" textlink="">
      <xdr:nvSpPr>
        <xdr:cNvPr id="49" name="Graphic 37" descr="Information with solid fill">
          <a:extLst>
            <a:ext uri="{FF2B5EF4-FFF2-40B4-BE49-F238E27FC236}">
              <a16:creationId xmlns:a16="http://schemas.microsoft.com/office/drawing/2014/main" id="{F4D06538-9AAB-4F7D-AD7C-7E4E2F52206D}"/>
            </a:ext>
          </a:extLst>
        </xdr:cNvPr>
        <xdr:cNvSpPr>
          <a:spLocks noChangeAspect="1"/>
        </xdr:cNvSpPr>
      </xdr:nvSpPr>
      <xdr:spPr>
        <a:xfrm>
          <a:off x="1638300" y="2245995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119</xdr:row>
      <xdr:rowOff>47625</xdr:rowOff>
    </xdr:from>
    <xdr:to>
      <xdr:col>2</xdr:col>
      <xdr:colOff>945150</xdr:colOff>
      <xdr:row>119</xdr:row>
      <xdr:rowOff>174954</xdr:rowOff>
    </xdr:to>
    <xdr:sp macro="" textlink="">
      <xdr:nvSpPr>
        <xdr:cNvPr id="51" name="Graphic 37" descr="Information with solid fill">
          <a:extLst>
            <a:ext uri="{FF2B5EF4-FFF2-40B4-BE49-F238E27FC236}">
              <a16:creationId xmlns:a16="http://schemas.microsoft.com/office/drawing/2014/main" id="{273A2EBB-5A2E-48F8-8168-27009D1862C6}"/>
            </a:ext>
          </a:extLst>
        </xdr:cNvPr>
        <xdr:cNvSpPr>
          <a:spLocks noChangeAspect="1"/>
        </xdr:cNvSpPr>
      </xdr:nvSpPr>
      <xdr:spPr>
        <a:xfrm>
          <a:off x="1638300" y="226599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146</xdr:row>
      <xdr:rowOff>38100</xdr:rowOff>
    </xdr:from>
    <xdr:to>
      <xdr:col>2</xdr:col>
      <xdr:colOff>945150</xdr:colOff>
      <xdr:row>146</xdr:row>
      <xdr:rowOff>165429</xdr:rowOff>
    </xdr:to>
    <xdr:sp macro="" textlink="">
      <xdr:nvSpPr>
        <xdr:cNvPr id="52" name="Graphic 37" descr="Information with solid fill">
          <a:extLst>
            <a:ext uri="{FF2B5EF4-FFF2-40B4-BE49-F238E27FC236}">
              <a16:creationId xmlns:a16="http://schemas.microsoft.com/office/drawing/2014/main" id="{2D4BE8F4-70A0-4163-8FBB-3740CFDA5266}"/>
            </a:ext>
          </a:extLst>
        </xdr:cNvPr>
        <xdr:cNvSpPr>
          <a:spLocks noChangeAspect="1"/>
        </xdr:cNvSpPr>
      </xdr:nvSpPr>
      <xdr:spPr>
        <a:xfrm>
          <a:off x="1638300" y="24412575"/>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2</xdr:col>
      <xdr:colOff>819150</xdr:colOff>
      <xdr:row>147</xdr:row>
      <xdr:rowOff>47625</xdr:rowOff>
    </xdr:from>
    <xdr:to>
      <xdr:col>2</xdr:col>
      <xdr:colOff>945150</xdr:colOff>
      <xdr:row>147</xdr:row>
      <xdr:rowOff>174954</xdr:rowOff>
    </xdr:to>
    <xdr:sp macro="" textlink="">
      <xdr:nvSpPr>
        <xdr:cNvPr id="53" name="Graphic 37" descr="Information with solid fill">
          <a:extLst>
            <a:ext uri="{FF2B5EF4-FFF2-40B4-BE49-F238E27FC236}">
              <a16:creationId xmlns:a16="http://schemas.microsoft.com/office/drawing/2014/main" id="{250FD45E-6B97-47F7-93C2-BC4C67314DBE}"/>
            </a:ext>
          </a:extLst>
        </xdr:cNvPr>
        <xdr:cNvSpPr>
          <a:spLocks noChangeAspect="1"/>
        </xdr:cNvSpPr>
      </xdr:nvSpPr>
      <xdr:spPr>
        <a:xfrm>
          <a:off x="1638300" y="1546860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1362075</xdr:colOff>
      <xdr:row>162</xdr:row>
      <xdr:rowOff>47625</xdr:rowOff>
    </xdr:from>
    <xdr:to>
      <xdr:col>5</xdr:col>
      <xdr:colOff>1488075</xdr:colOff>
      <xdr:row>162</xdr:row>
      <xdr:rowOff>174954</xdr:rowOff>
    </xdr:to>
    <xdr:sp macro="" textlink="">
      <xdr:nvSpPr>
        <xdr:cNvPr id="54" name="Graphic 37" descr="Information with solid fill">
          <a:extLst>
            <a:ext uri="{FF2B5EF4-FFF2-40B4-BE49-F238E27FC236}">
              <a16:creationId xmlns:a16="http://schemas.microsoft.com/office/drawing/2014/main" id="{248D7675-294F-422C-8191-B282078C336A}"/>
            </a:ext>
          </a:extLst>
        </xdr:cNvPr>
        <xdr:cNvSpPr>
          <a:spLocks noChangeAspect="1"/>
        </xdr:cNvSpPr>
      </xdr:nvSpPr>
      <xdr:spPr>
        <a:xfrm>
          <a:off x="5133975" y="18764250"/>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1333500</xdr:colOff>
      <xdr:row>14</xdr:row>
      <xdr:rowOff>47625</xdr:rowOff>
    </xdr:from>
    <xdr:to>
      <xdr:col>5</xdr:col>
      <xdr:colOff>1476000</xdr:colOff>
      <xdr:row>14</xdr:row>
      <xdr:rowOff>191628</xdr:rowOff>
    </xdr:to>
    <xdr:sp macro="" textlink="">
      <xdr:nvSpPr>
        <xdr:cNvPr id="55" name="Graphic 37" descr="Information with solid fill">
          <a:extLst>
            <a:ext uri="{FF2B5EF4-FFF2-40B4-BE49-F238E27FC236}">
              <a16:creationId xmlns:a16="http://schemas.microsoft.com/office/drawing/2014/main" id="{6C63A919-04AC-40DC-BCC7-54125F11970C}"/>
            </a:ext>
          </a:extLst>
        </xdr:cNvPr>
        <xdr:cNvSpPr>
          <a:spLocks noChangeAspect="1"/>
        </xdr:cNvSpPr>
      </xdr:nvSpPr>
      <xdr:spPr>
        <a:xfrm>
          <a:off x="5105400" y="2133600"/>
          <a:ext cx="142500" cy="144003"/>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5</xdr:col>
      <xdr:colOff>1352550</xdr:colOff>
      <xdr:row>7</xdr:row>
      <xdr:rowOff>28575</xdr:rowOff>
    </xdr:from>
    <xdr:to>
      <xdr:col>5</xdr:col>
      <xdr:colOff>1495050</xdr:colOff>
      <xdr:row>7</xdr:row>
      <xdr:rowOff>184459</xdr:rowOff>
    </xdr:to>
    <xdr:sp macro="" textlink="">
      <xdr:nvSpPr>
        <xdr:cNvPr id="56" name="Graphic 44" descr="Information with solid fill">
          <a:extLst>
            <a:ext uri="{FF2B5EF4-FFF2-40B4-BE49-F238E27FC236}">
              <a16:creationId xmlns:a16="http://schemas.microsoft.com/office/drawing/2014/main" id="{646DD593-133A-4784-A46B-EAA1C1B46FB7}"/>
            </a:ext>
          </a:extLst>
        </xdr:cNvPr>
        <xdr:cNvSpPr>
          <a:spLocks noChangeAspect="1"/>
        </xdr:cNvSpPr>
      </xdr:nvSpPr>
      <xdr:spPr>
        <a:xfrm>
          <a:off x="5124450" y="790575"/>
          <a:ext cx="142500" cy="155884"/>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twoCellAnchor>
    <xdr:from>
      <xdr:col>4</xdr:col>
      <xdr:colOff>142875</xdr:colOff>
      <xdr:row>72</xdr:row>
      <xdr:rowOff>51501</xdr:rowOff>
    </xdr:from>
    <xdr:to>
      <xdr:col>4</xdr:col>
      <xdr:colOff>268875</xdr:colOff>
      <xdr:row>72</xdr:row>
      <xdr:rowOff>178830</xdr:rowOff>
    </xdr:to>
    <xdr:sp macro="" textlink="">
      <xdr:nvSpPr>
        <xdr:cNvPr id="3" name="Graphic 37" descr="Information with solid fill">
          <a:extLst>
            <a:ext uri="{FF2B5EF4-FFF2-40B4-BE49-F238E27FC236}">
              <a16:creationId xmlns:a16="http://schemas.microsoft.com/office/drawing/2014/main" id="{E0DCDFC6-4E95-4C76-A3EF-039954DC8A7A}"/>
            </a:ext>
          </a:extLst>
        </xdr:cNvPr>
        <xdr:cNvSpPr>
          <a:spLocks noChangeAspect="1"/>
        </xdr:cNvSpPr>
      </xdr:nvSpPr>
      <xdr:spPr>
        <a:xfrm>
          <a:off x="3638550" y="7319076"/>
          <a:ext cx="126000" cy="127329"/>
        </a:xfrm>
        <a:custGeom>
          <a:avLst/>
          <a:gdLst>
            <a:gd name="connsiteX0" fmla="*/ 71250 w 142500"/>
            <a:gd name="connsiteY0" fmla="*/ 0 h 142500"/>
            <a:gd name="connsiteX1" fmla="*/ 0 w 142500"/>
            <a:gd name="connsiteY1" fmla="*/ 71250 h 142500"/>
            <a:gd name="connsiteX2" fmla="*/ 71250 w 142500"/>
            <a:gd name="connsiteY2" fmla="*/ 142500 h 142500"/>
            <a:gd name="connsiteX3" fmla="*/ 142500 w 142500"/>
            <a:gd name="connsiteY3" fmla="*/ 71250 h 142500"/>
            <a:gd name="connsiteX4" fmla="*/ 71250 w 142500"/>
            <a:gd name="connsiteY4" fmla="*/ 0 h 142500"/>
            <a:gd name="connsiteX5" fmla="*/ 67500 w 142500"/>
            <a:gd name="connsiteY5" fmla="*/ 18750 h 142500"/>
            <a:gd name="connsiteX6" fmla="*/ 76875 w 142500"/>
            <a:gd name="connsiteY6" fmla="*/ 28125 h 142500"/>
            <a:gd name="connsiteX7" fmla="*/ 67500 w 142500"/>
            <a:gd name="connsiteY7" fmla="*/ 37500 h 142500"/>
            <a:gd name="connsiteX8" fmla="*/ 58125 w 142500"/>
            <a:gd name="connsiteY8" fmla="*/ 28125 h 142500"/>
            <a:gd name="connsiteX9" fmla="*/ 67500 w 142500"/>
            <a:gd name="connsiteY9" fmla="*/ 18750 h 142500"/>
            <a:gd name="connsiteX10" fmla="*/ 90000 w 142500"/>
            <a:gd name="connsiteY10" fmla="*/ 123750 h 142500"/>
            <a:gd name="connsiteX11" fmla="*/ 52500 w 142500"/>
            <a:gd name="connsiteY11" fmla="*/ 123750 h 142500"/>
            <a:gd name="connsiteX12" fmla="*/ 52500 w 142500"/>
            <a:gd name="connsiteY12" fmla="*/ 112500 h 142500"/>
            <a:gd name="connsiteX13" fmla="*/ 65625 w 142500"/>
            <a:gd name="connsiteY13" fmla="*/ 112500 h 142500"/>
            <a:gd name="connsiteX14" fmla="*/ 65625 w 142500"/>
            <a:gd name="connsiteY14" fmla="*/ 56250 h 142500"/>
            <a:gd name="connsiteX15" fmla="*/ 54375 w 142500"/>
            <a:gd name="connsiteY15" fmla="*/ 56250 h 142500"/>
            <a:gd name="connsiteX16" fmla="*/ 54375 w 142500"/>
            <a:gd name="connsiteY16" fmla="*/ 45000 h 142500"/>
            <a:gd name="connsiteX17" fmla="*/ 76875 w 142500"/>
            <a:gd name="connsiteY17" fmla="*/ 45000 h 142500"/>
            <a:gd name="connsiteX18" fmla="*/ 76875 w 142500"/>
            <a:gd name="connsiteY18" fmla="*/ 56250 h 142500"/>
            <a:gd name="connsiteX19" fmla="*/ 76875 w 142500"/>
            <a:gd name="connsiteY19" fmla="*/ 112500 h 142500"/>
            <a:gd name="connsiteX20" fmla="*/ 90000 w 142500"/>
            <a:gd name="connsiteY20" fmla="*/ 112500 h 142500"/>
            <a:gd name="connsiteX21" fmla="*/ 90000 w 142500"/>
            <a:gd name="connsiteY21" fmla="*/ 123750 h 142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2500" h="142500">
              <a:moveTo>
                <a:pt x="71250" y="0"/>
              </a:moveTo>
              <a:cubicBezTo>
                <a:pt x="31875" y="0"/>
                <a:pt x="0" y="31875"/>
                <a:pt x="0" y="71250"/>
              </a:cubicBezTo>
              <a:cubicBezTo>
                <a:pt x="0" y="110625"/>
                <a:pt x="31875" y="142500"/>
                <a:pt x="71250" y="142500"/>
              </a:cubicBezTo>
              <a:cubicBezTo>
                <a:pt x="110625" y="142500"/>
                <a:pt x="142500" y="110625"/>
                <a:pt x="142500" y="71250"/>
              </a:cubicBezTo>
              <a:cubicBezTo>
                <a:pt x="142500" y="31875"/>
                <a:pt x="110625" y="0"/>
                <a:pt x="71250" y="0"/>
              </a:cubicBezTo>
              <a:close/>
              <a:moveTo>
                <a:pt x="67500" y="18750"/>
              </a:moveTo>
              <a:cubicBezTo>
                <a:pt x="72750" y="18750"/>
                <a:pt x="76875" y="22875"/>
                <a:pt x="76875" y="28125"/>
              </a:cubicBezTo>
              <a:cubicBezTo>
                <a:pt x="76875" y="33375"/>
                <a:pt x="72750" y="37500"/>
                <a:pt x="67500" y="37500"/>
              </a:cubicBezTo>
              <a:cubicBezTo>
                <a:pt x="62250" y="37500"/>
                <a:pt x="58125" y="33375"/>
                <a:pt x="58125" y="28125"/>
              </a:cubicBezTo>
              <a:cubicBezTo>
                <a:pt x="58125" y="22875"/>
                <a:pt x="62250" y="18750"/>
                <a:pt x="67500" y="18750"/>
              </a:cubicBezTo>
              <a:close/>
              <a:moveTo>
                <a:pt x="90000" y="123750"/>
              </a:moveTo>
              <a:lnTo>
                <a:pt x="52500" y="123750"/>
              </a:lnTo>
              <a:lnTo>
                <a:pt x="52500" y="112500"/>
              </a:lnTo>
              <a:lnTo>
                <a:pt x="65625" y="112500"/>
              </a:lnTo>
              <a:lnTo>
                <a:pt x="65625" y="56250"/>
              </a:lnTo>
              <a:lnTo>
                <a:pt x="54375" y="56250"/>
              </a:lnTo>
              <a:lnTo>
                <a:pt x="54375" y="45000"/>
              </a:lnTo>
              <a:lnTo>
                <a:pt x="76875" y="45000"/>
              </a:lnTo>
              <a:lnTo>
                <a:pt x="76875" y="56250"/>
              </a:lnTo>
              <a:lnTo>
                <a:pt x="76875" y="112500"/>
              </a:lnTo>
              <a:lnTo>
                <a:pt x="90000" y="112500"/>
              </a:lnTo>
              <a:lnTo>
                <a:pt x="90000" y="123750"/>
              </a:lnTo>
              <a:close/>
            </a:path>
          </a:pathLst>
        </a:custGeom>
        <a:solidFill>
          <a:srgbClr val="000000"/>
        </a:solidFill>
        <a:ln w="1786" cap="flat">
          <a:noFill/>
          <a:prstDash val="solid"/>
          <a:miter/>
        </a:ln>
      </xdr:spPr>
      <xdr:txBody>
        <a:bodyPr rtlCol="0" anchor="ctr"/>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23</xdr:col>
      <xdr:colOff>226219</xdr:colOff>
      <xdr:row>4</xdr:row>
      <xdr:rowOff>107156</xdr:rowOff>
    </xdr:from>
    <xdr:to>
      <xdr:col>30</xdr:col>
      <xdr:colOff>797720</xdr:colOff>
      <xdr:row>57</xdr:row>
      <xdr:rowOff>166687</xdr:rowOff>
    </xdr:to>
    <xdr:sp macro="" textlink="">
      <xdr:nvSpPr>
        <xdr:cNvPr id="2" name="TextBox 1">
          <a:extLst>
            <a:ext uri="{FF2B5EF4-FFF2-40B4-BE49-F238E27FC236}">
              <a16:creationId xmlns:a16="http://schemas.microsoft.com/office/drawing/2014/main" id="{C8302168-571C-4AE3-A2E5-A09EEE1D6CFC}"/>
            </a:ext>
          </a:extLst>
        </xdr:cNvPr>
        <xdr:cNvSpPr txBox="1"/>
      </xdr:nvSpPr>
      <xdr:spPr>
        <a:xfrm>
          <a:off x="14247019" y="843756"/>
          <a:ext cx="4648201" cy="96353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On entering project supplement in NORMA:</a:t>
          </a:r>
          <a:r>
            <a:rPr lang="en-US"/>
            <a:t> </a:t>
          </a:r>
          <a:endParaRPr lang="en-US" sz="1100" b="0" i="0" u="none" strike="noStrike">
            <a:solidFill>
              <a:schemeClr val="dk1"/>
            </a:solidFill>
            <a:effectLst/>
            <a:latin typeface="+mn-lt"/>
            <a:ea typeface="+mn-ea"/>
            <a:cs typeface="+mn-cs"/>
          </a:endParaRP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For each position you enter, you have to select "with project supplement" or "no project supplement" in NORMA.</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Make sure the project supplement you enter in NORMA matches with the amount per year in this budget.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The following positions from the budget results in project supplement: </a:t>
          </a:r>
        </a:p>
        <a:p>
          <a:r>
            <a:rPr lang="en-US"/>
            <a:t> </a:t>
          </a:r>
        </a:p>
        <a:p>
          <a:r>
            <a:rPr lang="en-US" sz="1100" b="0" i="0">
              <a:solidFill>
                <a:schemeClr val="dk1"/>
              </a:solidFill>
              <a:effectLst/>
              <a:latin typeface="+mn-lt"/>
              <a:ea typeface="+mn-ea"/>
              <a:cs typeface="+mn-cs"/>
            </a:rPr>
            <a:t>PhD Student</a:t>
          </a:r>
          <a:r>
            <a:rPr lang="en-US" sz="1100">
              <a:solidFill>
                <a:schemeClr val="dk1"/>
              </a:solidFill>
              <a:effectLst/>
              <a:latin typeface="+mn-lt"/>
              <a:ea typeface="+mn-ea"/>
              <a:cs typeface="+mn-cs"/>
            </a:rPr>
            <a:t> </a:t>
          </a:r>
        </a:p>
        <a:p>
          <a:r>
            <a:rPr lang="en-US" sz="1100" b="0" i="0" u="none" strike="noStrike">
              <a:solidFill>
                <a:schemeClr val="dk1"/>
              </a:solidFill>
              <a:effectLst/>
              <a:latin typeface="+mn-lt"/>
              <a:ea typeface="+mn-ea"/>
              <a:cs typeface="+mn-cs"/>
            </a:rPr>
            <a:t>Postdoc</a:t>
          </a:r>
        </a:p>
        <a:p>
          <a:r>
            <a:rPr lang="en-US"/>
            <a:t>P</a:t>
          </a:r>
          <a:r>
            <a:rPr lang="en-US" sz="1100" b="0" i="0" u="none" strike="noStrike">
              <a:solidFill>
                <a:schemeClr val="dk1"/>
              </a:solidFill>
              <a:effectLst/>
              <a:latin typeface="+mn-lt"/>
              <a:ea typeface="+mn-ea"/>
              <a:cs typeface="+mn-cs"/>
            </a:rPr>
            <a:t>hD Student 4+4 Part B project supplement</a:t>
          </a:r>
          <a:r>
            <a:rPr lang="en-US"/>
            <a:t> </a:t>
          </a:r>
        </a:p>
        <a:p>
          <a:r>
            <a:rPr lang="en-US" sz="1100" b="0" i="0" u="none" strike="noStrike">
              <a:solidFill>
                <a:schemeClr val="dk1"/>
              </a:solidFill>
              <a:effectLst/>
              <a:latin typeface="+mn-lt"/>
              <a:ea typeface="+mn-ea"/>
              <a:cs typeface="+mn-cs"/>
            </a:rPr>
            <a:t>PhD Student 4+4 Part A project supplement</a:t>
          </a:r>
          <a:r>
            <a:rPr lang="en-US"/>
            <a:t> </a:t>
          </a:r>
        </a:p>
        <a:p>
          <a:r>
            <a:rPr lang="en-US" sz="1100" b="0" i="0">
              <a:solidFill>
                <a:schemeClr val="dk1"/>
              </a:solidFill>
              <a:effectLst/>
              <a:latin typeface="+mn-lt"/>
              <a:ea typeface="+mn-ea"/>
              <a:cs typeface="+mn-cs"/>
            </a:rPr>
            <a:t>Research Assistant</a:t>
          </a:r>
        </a:p>
        <a:p>
          <a:r>
            <a:rPr lang="en-US" sz="1100" b="0" i="0">
              <a:solidFill>
                <a:schemeClr val="dk1"/>
              </a:solidFill>
              <a:effectLst/>
              <a:latin typeface="+mn-lt"/>
              <a:ea typeface="+mn-ea"/>
              <a:cs typeface="+mn-cs"/>
            </a:rPr>
            <a:t>Project employed group leader (project supplement)</a:t>
          </a:r>
        </a:p>
        <a:p>
          <a:r>
            <a:rPr lang="en-US" sz="1100" b="0" i="0">
              <a:solidFill>
                <a:schemeClr val="dk1"/>
              </a:solidFill>
              <a:effectLst/>
              <a:latin typeface="+mn-lt"/>
              <a:ea typeface="+mn-ea"/>
              <a:cs typeface="+mn-cs"/>
            </a:rPr>
            <a:t>Other with project supplement (VIP Group C)</a:t>
          </a:r>
          <a:r>
            <a:rPr lang="en-US" sz="1100">
              <a:solidFill>
                <a:schemeClr val="dk1"/>
              </a:solidFill>
              <a:effectLst/>
              <a:latin typeface="+mn-lt"/>
              <a:ea typeface="+mn-ea"/>
              <a:cs typeface="+mn-cs"/>
            </a:rPr>
            <a:t> </a:t>
          </a:r>
        </a:p>
        <a:p>
          <a:endParaRPr lang="en-US" sz="1100" b="1" kern="1200">
            <a:solidFill>
              <a:schemeClr val="dk1"/>
            </a:solidFill>
            <a:effectLst/>
            <a:latin typeface="+mn-lt"/>
            <a:ea typeface="+mn-ea"/>
            <a:cs typeface="+mn-cs"/>
          </a:endParaRPr>
        </a:p>
        <a:p>
          <a:r>
            <a:rPr lang="en-US" sz="1100" b="1" kern="1200"/>
            <a:t>NB regarding NORMA and 4+4 PhD:</a:t>
          </a:r>
        </a:p>
        <a:p>
          <a:endParaRPr lang="en-US" sz="1100" kern="1200"/>
        </a:p>
        <a:p>
          <a:r>
            <a:rPr lang="en-US" sz="1100" kern="1200"/>
            <a:t>A 4+4 PhD is entitled to the same total amount of project supplement as a standard 5+3 PhD - so 3x DKK 257.000, a total of DKK 771.000 for STEM fields. In the NNF application system NORMA you can only select full project supplement (STEM or SOC/HUM) or no project supplement for each position type. In  the AU budget you can therefore choose for each part of the 4+4 whether it should have project supplement or not. Make sure to distribute the years for the 4+4 in the AU budget so there is project supplement for three of the 4 years in the AU budget.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A959B9-EAE2-4D8C-8A66-83195FEAB3A1}" name="AU_deps" displayName="AU_deps" ref="C19:H33" totalsRowShown="0" headerRowDxfId="19" dataDxfId="18" tableBorderDxfId="17">
  <autoFilter ref="C19:H33" xr:uid="{A4A959B9-EAE2-4D8C-8A66-83195FEAB3A1}"/>
  <tableColumns count="6">
    <tableColumn id="1" xr3:uid="{1135645F-1A64-4434-9777-010701B239D9}" name="Natural Sciences" dataDxfId="16"/>
    <tableColumn id="2" xr3:uid="{172B7860-A2CA-4726-8F52-A4D456784CE3}" name="Technical Sciences" dataDxfId="15"/>
    <tableColumn id="3" xr3:uid="{A4746BC2-0802-410F-8650-187ED563DE5D}" name="Health" dataDxfId="14"/>
    <tableColumn id="4" xr3:uid="{4C95B06D-BEF8-41E3-901B-3885C17D7246}" name="Arts" dataDxfId="13"/>
    <tableColumn id="5" xr3:uid="{A62B2647-6327-4067-A0CD-FA45EDB17E6E}" name="BSS" dataDxfId="12"/>
    <tableColumn id="6" xr3:uid="{91FD6089-D636-4A1D-8037-9D7649A8BECE}" name="Other" dataDxfId="11"/>
  </tableColumns>
  <tableStyleInfo name="Table Style 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dkuni.dk/aftale-om-en-faelles-model-for-finansiering-af-forskningsprojekter/" TargetMode="External"/><Relationship Id="rId7" Type="http://schemas.openxmlformats.org/officeDocument/2006/relationships/vmlDrawing" Target="../drawings/vmlDrawing1.vml"/><Relationship Id="rId2" Type="http://schemas.openxmlformats.org/officeDocument/2006/relationships/hyperlink" Target="https://dkuni.dk/wp-content/uploads/2025/12/guidelines-for-project-supplement_final_version-3.pdf" TargetMode="External"/><Relationship Id="rId1" Type="http://schemas.openxmlformats.org/officeDocument/2006/relationships/hyperlink" Target="https://dkuni.dk/wp-content/uploads/2025/12/vejledning-projekttillaeg-version-3.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kuni.dk/wp-content/uploads/2023/11/eng_aftaletekst_endelig_final.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novonordiskfonden.dk/en/grant/new-exploratory-research-and-discovery-nerd-programme-2026/"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medarbejdere.au.dk/fileadmin/ingen_mappe_valgt/LON/Loensatser_pr._01.11.2025.pdf" TargetMode="External"/><Relationship Id="rId1" Type="http://schemas.openxmlformats.org/officeDocument/2006/relationships/hyperlink" Target="https://medarbejdere.au.dk/fileadmin/www.medarbejdere.au.dk/Institutter/AU_oekonomi/OEkonomimanual/Ressourcemodellen/2025_-_Takstkatalog_baseret_paa_ressourcekostpriser.pdf"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FF3A1-8174-4B16-A5D5-9AB2617643B2}">
  <sheetPr>
    <tabColor theme="0" tint="-4.9989318521683403E-2"/>
  </sheetPr>
  <dimension ref="B1:M41"/>
  <sheetViews>
    <sheetView showGridLines="0" topLeftCell="A5" zoomScale="80" zoomScaleNormal="80" workbookViewId="0">
      <selection activeCell="R23" sqref="R23"/>
    </sheetView>
  </sheetViews>
  <sheetFormatPr baseColWidth="10" defaultColWidth="8.83203125" defaultRowHeight="15" x14ac:dyDescent="0.2"/>
  <cols>
    <col min="1" max="1" width="3.33203125" customWidth="1"/>
    <col min="3" max="3" width="65.5" customWidth="1"/>
    <col min="4" max="4" width="11.1640625" customWidth="1"/>
    <col min="6" max="6" width="19.5" customWidth="1"/>
    <col min="10" max="10" width="8.83203125" customWidth="1"/>
  </cols>
  <sheetData>
    <row r="1" spans="2:4" ht="19" x14ac:dyDescent="0.25">
      <c r="B1" s="41" t="s">
        <v>0</v>
      </c>
    </row>
    <row r="2" spans="2:4" ht="57" customHeight="1" x14ac:dyDescent="0.2">
      <c r="B2" s="45" t="s">
        <v>1</v>
      </c>
      <c r="C2" s="141" t="s">
        <v>2</v>
      </c>
    </row>
    <row r="3" spans="2:4" ht="32" x14ac:dyDescent="0.2">
      <c r="B3" s="45" t="s">
        <v>1</v>
      </c>
      <c r="C3" s="54" t="s">
        <v>3</v>
      </c>
      <c r="D3" s="45"/>
    </row>
    <row r="5" spans="2:4" ht="82.5" customHeight="1" x14ac:dyDescent="0.2">
      <c r="B5" s="45" t="s">
        <v>1</v>
      </c>
      <c r="C5" s="54" t="s">
        <v>4</v>
      </c>
    </row>
    <row r="11" spans="2:4" x14ac:dyDescent="0.2">
      <c r="B11" s="45"/>
    </row>
    <row r="12" spans="2:4" ht="32" x14ac:dyDescent="0.2">
      <c r="B12" s="45" t="s">
        <v>1</v>
      </c>
      <c r="C12" s="54" t="s">
        <v>5</v>
      </c>
    </row>
    <row r="16" spans="2:4" ht="20" thickBot="1" x14ac:dyDescent="0.3">
      <c r="B16" s="41" t="s">
        <v>6</v>
      </c>
    </row>
    <row r="17" spans="2:13" ht="41.25" customHeight="1" x14ac:dyDescent="0.2">
      <c r="B17" s="45" t="s">
        <v>1</v>
      </c>
      <c r="C17" s="768" t="s">
        <v>7</v>
      </c>
      <c r="D17" s="768"/>
      <c r="E17" s="768"/>
      <c r="F17" s="768"/>
      <c r="H17" s="762" t="s">
        <v>8</v>
      </c>
      <c r="I17" s="763"/>
      <c r="J17" s="763"/>
      <c r="K17" s="763"/>
      <c r="L17" s="763"/>
      <c r="M17" s="764"/>
    </row>
    <row r="18" spans="2:13" ht="59.25" customHeight="1" thickBot="1" x14ac:dyDescent="0.25">
      <c r="B18" s="45" t="s">
        <v>1</v>
      </c>
      <c r="C18" s="768" t="s">
        <v>9</v>
      </c>
      <c r="D18" s="768"/>
      <c r="E18" s="768"/>
      <c r="F18" s="768"/>
      <c r="H18" s="765"/>
      <c r="I18" s="766"/>
      <c r="J18" s="766"/>
      <c r="K18" s="766"/>
      <c r="L18" s="766"/>
      <c r="M18" s="767"/>
    </row>
    <row r="19" spans="2:13" ht="154.5" customHeight="1" x14ac:dyDescent="0.2">
      <c r="B19" s="45" t="s">
        <v>1</v>
      </c>
      <c r="C19" s="768" t="s">
        <v>292</v>
      </c>
      <c r="D19" s="768"/>
      <c r="E19" s="768"/>
      <c r="F19" s="768"/>
    </row>
    <row r="20" spans="2:13" ht="30.5" customHeight="1" x14ac:dyDescent="0.2">
      <c r="B20" s="45"/>
      <c r="C20" s="627" t="s">
        <v>10</v>
      </c>
      <c r="D20" s="2"/>
      <c r="E20" s="2"/>
      <c r="F20" s="2"/>
    </row>
    <row r="21" spans="2:13" ht="30.5" customHeight="1" x14ac:dyDescent="0.2">
      <c r="B21" s="45"/>
      <c r="C21" s="627" t="s">
        <v>11</v>
      </c>
      <c r="D21" s="2"/>
      <c r="E21" s="2"/>
      <c r="F21" s="2"/>
    </row>
    <row r="22" spans="2:13" ht="30.75" customHeight="1" x14ac:dyDescent="0.2">
      <c r="B22" s="45"/>
      <c r="C22" s="769" t="s">
        <v>289</v>
      </c>
      <c r="D22" s="769"/>
      <c r="E22" s="769"/>
      <c r="F22" s="769"/>
    </row>
    <row r="23" spans="2:13" ht="54" customHeight="1" x14ac:dyDescent="0.2">
      <c r="B23" s="45"/>
      <c r="C23" s="769" t="s">
        <v>290</v>
      </c>
      <c r="D23" s="769"/>
      <c r="E23" s="769"/>
      <c r="F23" s="769"/>
    </row>
    <row r="24" spans="2:13" ht="51" customHeight="1" x14ac:dyDescent="0.2">
      <c r="B24" s="45" t="s">
        <v>1</v>
      </c>
      <c r="C24" s="768" t="s">
        <v>12</v>
      </c>
      <c r="D24" s="768"/>
      <c r="E24" s="768"/>
      <c r="F24" s="768"/>
    </row>
    <row r="25" spans="2:13" ht="57.75" customHeight="1" x14ac:dyDescent="0.2">
      <c r="B25" s="45" t="s">
        <v>1</v>
      </c>
      <c r="C25" s="768" t="s">
        <v>13</v>
      </c>
      <c r="D25" s="768"/>
      <c r="E25" s="768"/>
      <c r="F25" s="768"/>
    </row>
    <row r="26" spans="2:13" ht="83.25" customHeight="1" x14ac:dyDescent="0.2">
      <c r="B26" s="45" t="s">
        <v>1</v>
      </c>
      <c r="C26" s="768" t="s">
        <v>14</v>
      </c>
      <c r="D26" s="768"/>
      <c r="E26" s="768"/>
      <c r="F26" s="768"/>
    </row>
    <row r="27" spans="2:13" ht="44.25" customHeight="1" x14ac:dyDescent="0.2">
      <c r="B27" s="45" t="s">
        <v>1</v>
      </c>
      <c r="C27" s="768" t="s">
        <v>15</v>
      </c>
      <c r="D27" s="768"/>
      <c r="E27" s="768"/>
      <c r="F27" s="768"/>
    </row>
    <row r="28" spans="2:13" x14ac:dyDescent="0.2">
      <c r="B28" s="45"/>
      <c r="C28" s="2"/>
      <c r="D28" s="2"/>
      <c r="E28" s="2"/>
      <c r="F28" s="2"/>
    </row>
    <row r="29" spans="2:13" ht="19" x14ac:dyDescent="0.25">
      <c r="B29" s="41" t="s">
        <v>16</v>
      </c>
    </row>
    <row r="30" spans="2:13" ht="16" x14ac:dyDescent="0.2">
      <c r="B30" s="45"/>
      <c r="C30" s="56" t="s">
        <v>17</v>
      </c>
      <c r="D30" s="57" t="s">
        <v>18</v>
      </c>
    </row>
    <row r="31" spans="2:13" ht="16" x14ac:dyDescent="0.2">
      <c r="B31" s="45" t="s">
        <v>1</v>
      </c>
      <c r="C31" s="58" t="s">
        <v>19</v>
      </c>
      <c r="D31" s="55"/>
    </row>
    <row r="32" spans="2:13" x14ac:dyDescent="0.2">
      <c r="B32" s="45" t="s">
        <v>1</v>
      </c>
      <c r="C32" s="55"/>
      <c r="D32" s="55"/>
    </row>
    <row r="33" spans="2:4" x14ac:dyDescent="0.2">
      <c r="B33" s="45" t="s">
        <v>1</v>
      </c>
      <c r="C33" s="55"/>
      <c r="D33" s="55"/>
    </row>
    <row r="34" spans="2:4" x14ac:dyDescent="0.2">
      <c r="B34" s="45" t="s">
        <v>1</v>
      </c>
      <c r="C34" s="55"/>
      <c r="D34" s="55"/>
    </row>
    <row r="35" spans="2:4" x14ac:dyDescent="0.2">
      <c r="B35" s="45" t="s">
        <v>1</v>
      </c>
      <c r="C35" s="55"/>
      <c r="D35" s="55"/>
    </row>
    <row r="36" spans="2:4" x14ac:dyDescent="0.2">
      <c r="B36" s="45" t="s">
        <v>1</v>
      </c>
      <c r="C36" s="55"/>
      <c r="D36" s="55"/>
    </row>
    <row r="37" spans="2:4" x14ac:dyDescent="0.2">
      <c r="B37" s="45" t="s">
        <v>1</v>
      </c>
      <c r="C37" s="55"/>
      <c r="D37" s="55"/>
    </row>
    <row r="38" spans="2:4" x14ac:dyDescent="0.2">
      <c r="B38" s="45" t="s">
        <v>1</v>
      </c>
      <c r="C38" s="55"/>
      <c r="D38" s="55"/>
    </row>
    <row r="39" spans="2:4" x14ac:dyDescent="0.2">
      <c r="B39" s="45" t="s">
        <v>1</v>
      </c>
      <c r="C39" s="55"/>
      <c r="D39" s="55"/>
    </row>
    <row r="40" spans="2:4" x14ac:dyDescent="0.2">
      <c r="B40" s="45" t="s">
        <v>1</v>
      </c>
      <c r="C40" s="55"/>
      <c r="D40" s="55"/>
    </row>
    <row r="41" spans="2:4" x14ac:dyDescent="0.2">
      <c r="B41" s="45" t="s">
        <v>1</v>
      </c>
      <c r="C41" s="55"/>
      <c r="D41" s="55"/>
    </row>
  </sheetData>
  <sheetProtection sheet="1" objects="1" scenarios="1"/>
  <mergeCells count="10">
    <mergeCell ref="H17:M18"/>
    <mergeCell ref="C27:F27"/>
    <mergeCell ref="C17:F17"/>
    <mergeCell ref="C26:F26"/>
    <mergeCell ref="C18:F18"/>
    <mergeCell ref="C19:F19"/>
    <mergeCell ref="C24:F24"/>
    <mergeCell ref="C25:F25"/>
    <mergeCell ref="C22:F22"/>
    <mergeCell ref="C23:F23"/>
  </mergeCells>
  <hyperlinks>
    <hyperlink ref="C22:F22" r:id="rId1" display="Link to Danish guide to project supplement (Ver 3):https://dkuni.dk/wp-content/uploads/2025/12/vejledning-projekttillaeg-version-3.pdf" xr:uid="{046D689D-7CDD-4991-B493-27D765D77D80}"/>
    <hyperlink ref="C23:F23" r:id="rId2" display="Link to English guide to project supplement: https://dkuni.dk/wp-content/uploads/2024/06/guidelines-for-project-supplement_final.pdf" xr:uid="{718E6890-9FB4-4DC5-B0F1-F4D0F90D44FD}"/>
    <hyperlink ref="C20" r:id="rId3" display="https://dkuni.dk/aftale-om-en-faelles-model-for-finansiering-af-forskningsprojekter/" xr:uid="{B448EFAF-4F22-4EA1-B726-8749DA2FF596}"/>
    <hyperlink ref="C21" r:id="rId4" display="https://dkuni.dk/wp-content/uploads/2023/11/eng_aftaletekst_endelig_final.pdf" xr:uid="{598FF7B9-08CF-4AA4-B4D8-CF88AECE363E}"/>
  </hyperlinks>
  <pageMargins left="0.7" right="0.7" top="0.75" bottom="0.75" header="0.3" footer="0.3"/>
  <pageSetup paperSize="9" orientation="portrait" r:id="rId5"/>
  <drawing r:id="rId6"/>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CB6A6-F80C-447D-9194-D048F3C58128}">
  <sheetPr>
    <tabColor theme="7" tint="0.59999389629810485"/>
  </sheetPr>
  <dimension ref="A1:BR196"/>
  <sheetViews>
    <sheetView showGridLines="0" tabSelected="1" zoomScaleNormal="100" workbookViewId="0">
      <pane xSplit="1" ySplit="17" topLeftCell="B112" activePane="bottomRight" state="frozen"/>
      <selection pane="topRight" activeCell="B4" sqref="B4"/>
      <selection pane="bottomLeft" activeCell="A17" sqref="A17"/>
      <selection pane="bottomRight" activeCell="W100" sqref="W100"/>
    </sheetView>
  </sheetViews>
  <sheetFormatPr baseColWidth="10" defaultColWidth="5.6640625" defaultRowHeight="15" outlineLevelRow="2" outlineLevelCol="1" x14ac:dyDescent="0.2"/>
  <cols>
    <col min="1" max="1" width="2.5" customWidth="1"/>
    <col min="2" max="2" width="9.83203125" customWidth="1"/>
    <col min="3" max="3" width="14.5" customWidth="1"/>
    <col min="4" max="4" width="25.6640625" customWidth="1"/>
    <col min="5" max="5" width="4.1640625" customWidth="1"/>
    <col min="6" max="6" width="22.5" customWidth="1"/>
    <col min="7" max="7" width="10.33203125" style="77" hidden="1" customWidth="1"/>
    <col min="8" max="8" width="16.83203125" hidden="1" customWidth="1"/>
    <col min="9" max="9" width="15.1640625" style="68" customWidth="1"/>
    <col min="10" max="10" width="10.33203125" style="68" customWidth="1"/>
    <col min="11" max="11" width="10.83203125" customWidth="1"/>
    <col min="12" max="12" width="11.6640625" customWidth="1"/>
    <col min="13" max="13" width="5.6640625" customWidth="1"/>
    <col min="14" max="14" width="14.33203125" style="45" customWidth="1"/>
    <col min="15" max="15" width="11.6640625" style="78" customWidth="1"/>
    <col min="16" max="16" width="5.6640625" style="78" customWidth="1"/>
    <col min="17" max="17" width="14.6640625" style="45" customWidth="1"/>
    <col min="18" max="18" width="11.6640625" style="78" customWidth="1"/>
    <col min="19" max="19" width="5.6640625" style="78" customWidth="1"/>
    <col min="20" max="20" width="13" style="45" customWidth="1"/>
    <col min="21" max="21" width="11.6640625" style="78" customWidth="1"/>
    <col min="22" max="22" width="5.6640625" style="78" customWidth="1"/>
    <col min="23" max="23" width="13.6640625" style="45" customWidth="1"/>
    <col min="24" max="24" width="11.6640625" style="78" customWidth="1"/>
    <col min="25" max="25" width="5.6640625" style="78" customWidth="1"/>
    <col min="26" max="26" width="13.83203125" style="45" customWidth="1"/>
    <col min="27" max="27" width="11.6640625" style="78" customWidth="1"/>
    <col min="28" max="28" width="5.6640625" style="78" customWidth="1"/>
    <col min="29" max="29" width="15.6640625" style="45" customWidth="1"/>
    <col min="30" max="30" width="11.6640625" style="78" hidden="1" customWidth="1" outlineLevel="1"/>
    <col min="31" max="31" width="5.6640625" style="78" hidden="1" customWidth="1" outlineLevel="1"/>
    <col min="32" max="32" width="15.1640625" style="45" hidden="1" customWidth="1" outlineLevel="1"/>
    <col min="33" max="33" width="11.6640625" style="78" hidden="1" customWidth="1" outlineLevel="1"/>
    <col min="34" max="34" width="5.6640625" style="78" hidden="1" customWidth="1" outlineLevel="1"/>
    <col min="35" max="35" width="13.5" style="45" hidden="1" customWidth="1" outlineLevel="1"/>
    <col min="36" max="36" width="11.6640625" style="78" hidden="1" customWidth="1" outlineLevel="1"/>
    <col min="37" max="37" width="5.6640625" style="78" hidden="1" customWidth="1" outlineLevel="1"/>
    <col min="38" max="38" width="14.33203125" style="45" hidden="1" customWidth="1" outlineLevel="1"/>
    <col min="39" max="39" width="11.6640625" style="78" hidden="1" customWidth="1" outlineLevel="1"/>
    <col min="40" max="40" width="5.6640625" style="78" hidden="1" customWidth="1" outlineLevel="1"/>
    <col min="41" max="41" width="11.5" style="45" hidden="1" customWidth="1" outlineLevel="1"/>
    <col min="42" max="42" width="11.6640625" style="78" customWidth="1" collapsed="1"/>
    <col min="43" max="43" width="7.5" style="78" customWidth="1"/>
    <col min="44" max="44" width="15.1640625" style="45" customWidth="1"/>
    <col min="45" max="45" width="4.33203125" customWidth="1"/>
    <col min="46" max="46" width="21.5" hidden="1" customWidth="1" outlineLevel="1"/>
    <col min="47" max="47" width="5.83203125" customWidth="1" collapsed="1"/>
    <col min="48" max="52" width="5.6640625" customWidth="1"/>
    <col min="53" max="53" width="37.5" customWidth="1"/>
    <col min="54" max="54" width="9.83203125" customWidth="1"/>
    <col min="55" max="68" width="5.6640625" customWidth="1"/>
  </cols>
  <sheetData>
    <row r="1" spans="1:47" ht="33" hidden="1" customHeight="1" x14ac:dyDescent="0.2">
      <c r="G1" s="124" t="s">
        <v>20</v>
      </c>
      <c r="H1" s="123">
        <f>IFERROR(IF(AND(DateFormat="Project years",MONTH($L$1)&gt;6),((YEAR($L$1)+1)-YEAR(SalaryYearPartner1)),(YEAR($L$2)-YEAR(SalaryYearPartner1))),1)</f>
        <v>2</v>
      </c>
      <c r="K1" s="125" t="s">
        <v>21</v>
      </c>
      <c r="L1" s="126" cm="1">
        <f t="array" ref="L1">IF(startDate="",e,startDate)</f>
        <v>46296</v>
      </c>
      <c r="M1" s="126"/>
      <c r="N1" s="126">
        <f>IF(L1&lt;endDate,MIN(EDATE(L1,12)-1,endDate),"")</f>
        <v>46660</v>
      </c>
      <c r="O1" s="126">
        <f>IF(N1&lt;endDate,N1+1,"")</f>
        <v>46661</v>
      </c>
      <c r="P1" s="126"/>
      <c r="Q1" s="126">
        <f>IF(O1&lt;endDate,MIN(EDATE(O1,12)-1,endDate),"")</f>
        <v>47026</v>
      </c>
      <c r="R1" s="126">
        <f>IF(Q1&lt;endDate,Q1+1,"")</f>
        <v>47027</v>
      </c>
      <c r="S1" s="126"/>
      <c r="T1" s="126">
        <f>IF(R1&lt;endDate,MIN(EDATE(R1,12)-1,endDate),"")</f>
        <v>47391</v>
      </c>
      <c r="U1" s="126">
        <f>IF(T1&lt;endDate,T1+1,"")</f>
        <v>47392</v>
      </c>
      <c r="V1" s="126"/>
      <c r="W1" s="126">
        <f>IF(U1&lt;endDate,MIN(EDATE(U1,12)-1,endDate),"")</f>
        <v>47756</v>
      </c>
      <c r="X1" s="126">
        <f>IF(W1&lt;endDate,W1+1,"")</f>
        <v>47757</v>
      </c>
      <c r="Y1" s="126"/>
      <c r="Z1" s="126">
        <f>IF(X1&lt;endDate,MIN(EDATE(X1,12)-1,endDate),"")</f>
        <v>48121</v>
      </c>
      <c r="AA1" s="126">
        <f>IF(Z1&lt;endDate,Z1+1,"")</f>
        <v>48122</v>
      </c>
      <c r="AB1" s="126"/>
      <c r="AC1" s="126">
        <f>IF(AA1&lt;endDate,MIN(EDATE(AA1,12)-1,endDate),"")</f>
        <v>48487</v>
      </c>
      <c r="AD1" s="126" t="str">
        <f>IF(AC1&lt;endDate,AC1+1,"")</f>
        <v/>
      </c>
      <c r="AE1" s="126"/>
      <c r="AF1" s="126" t="str">
        <f>IF(AD1&lt;endDate,MIN(EDATE(AD1,12)-1,endDate),"")</f>
        <v/>
      </c>
      <c r="AG1" s="126" t="str">
        <f>IF(AF1&lt;endDate,AF1+1,"")</f>
        <v/>
      </c>
      <c r="AH1" s="126"/>
      <c r="AI1" s="126" t="str">
        <f>IF(AG1&lt;endDate,MIN(EDATE(AG1,12)-1,endDate),"")</f>
        <v/>
      </c>
      <c r="AJ1" s="126" t="str">
        <f>IF(AI1&lt;endDate,AI1+1,"")</f>
        <v/>
      </c>
      <c r="AK1" s="126"/>
      <c r="AL1" s="126" t="str">
        <f>IF(AJ1&lt;endDate,MIN(EDATE(AJ1,12)-1,endDate),"")</f>
        <v/>
      </c>
      <c r="AM1" s="126" t="str">
        <f>IF(AL1&lt;endDate,AL1+1,"")</f>
        <v/>
      </c>
      <c r="AN1" s="126"/>
      <c r="AO1" s="126" t="str">
        <f>IF(AM1&lt;endDate,MIN(EDATE(AM1,12)-1,endDate),"")</f>
        <v/>
      </c>
      <c r="AP1" s="45"/>
      <c r="AQ1" s="45"/>
      <c r="AR1"/>
    </row>
    <row r="2" spans="1:47" ht="28.5" hidden="1" customHeight="1" x14ac:dyDescent="0.2">
      <c r="G2" s="124" t="s">
        <v>22</v>
      </c>
      <c r="H2" s="175">
        <v>45658</v>
      </c>
      <c r="K2" s="125" t="s">
        <v>23</v>
      </c>
      <c r="L2" s="126" cm="1">
        <f t="array" ref="L2">IF(startDate="",e,startDate)</f>
        <v>46296</v>
      </c>
      <c r="M2" s="126"/>
      <c r="N2" s="126">
        <f>IF(L2&lt;endDate,MIN(endDate,DATE(YEAR(L2),12,31)),"")</f>
        <v>46387</v>
      </c>
      <c r="O2" s="126">
        <f>IF(N2&lt;endDate,N2+1,"")</f>
        <v>46388</v>
      </c>
      <c r="P2" s="126"/>
      <c r="Q2" s="126">
        <f>IF(O2&lt;endDate,MIN(endDate,DATE(YEAR(O2),12,31)),"")</f>
        <v>46752</v>
      </c>
      <c r="R2" s="126">
        <f>IF(Q2&lt;endDate,Q2+1,"")</f>
        <v>46753</v>
      </c>
      <c r="S2" s="126"/>
      <c r="T2" s="126">
        <f>IF(R2&lt;endDate,MIN(endDate,DATE(YEAR(R2),12,31)),"")</f>
        <v>47118</v>
      </c>
      <c r="U2" s="126">
        <f>IF(T2&lt;endDate,T2+1,"")</f>
        <v>47119</v>
      </c>
      <c r="V2" s="126"/>
      <c r="W2" s="126">
        <f>IF(U2&lt;endDate,MIN(endDate,DATE(YEAR(U2),12,31)),"")</f>
        <v>47483</v>
      </c>
      <c r="X2" s="126">
        <f>IF(W2&lt;endDate,W2+1,"")</f>
        <v>47484</v>
      </c>
      <c r="Y2" s="126"/>
      <c r="Z2" s="126">
        <f>IF(X2&lt;endDate,MIN(endDate,DATE(YEAR(X2),12,31)),"")</f>
        <v>47848</v>
      </c>
      <c r="AA2" s="126">
        <f>IF(Z2&lt;endDate,Z2+1,"")</f>
        <v>47849</v>
      </c>
      <c r="AB2" s="126"/>
      <c r="AC2" s="126">
        <f>IF(AA2&lt;endDate,MIN(endDate,DATE(YEAR(AA2),12,31)),"")</f>
        <v>48213</v>
      </c>
      <c r="AD2" s="126">
        <f>IF(AC2&lt;endDate,AC2+1,"")</f>
        <v>48214</v>
      </c>
      <c r="AE2" s="126"/>
      <c r="AF2" s="126">
        <f>IF(AD2&lt;endDate,MIN(endDate,DATE(YEAR(AD2),12,31)),"")</f>
        <v>48487</v>
      </c>
      <c r="AG2" s="126" t="str">
        <f>IF(AF2&lt;endDate,AF2+1,"")</f>
        <v/>
      </c>
      <c r="AH2" s="126"/>
      <c r="AI2" s="126" t="str">
        <f>IF(AG2&lt;endDate,MIN(endDate,DATE(YEAR(AG2),12,31)),"")</f>
        <v/>
      </c>
      <c r="AJ2" s="126" t="str">
        <f>IF(AI2&lt;endDate,AI2+1,"")</f>
        <v/>
      </c>
      <c r="AK2" s="126"/>
      <c r="AL2" s="126" t="str">
        <f>IF(AJ2&lt;endDate,MIN(endDate,DATE(YEAR(AJ2),12,31)),"")</f>
        <v/>
      </c>
      <c r="AM2" s="126" t="str">
        <f>IF(AL2&lt;endDate,AL2+1,"")</f>
        <v/>
      </c>
      <c r="AN2" s="126"/>
      <c r="AO2" s="126" t="str">
        <f>IF(AM2&lt;endDate,MIN(endDate,DATE(YEAR(AM2),12,31)),"")</f>
        <v/>
      </c>
      <c r="AP2" s="45"/>
      <c r="AQ2" s="45"/>
      <c r="AR2"/>
    </row>
    <row r="3" spans="1:47" ht="54.5" hidden="1" customHeight="1" x14ac:dyDescent="0.2">
      <c r="G3" s="124"/>
      <c r="H3" s="123"/>
      <c r="K3" s="125" t="s">
        <v>24</v>
      </c>
      <c r="L3" s="127"/>
      <c r="M3" s="127"/>
      <c r="N3" s="128">
        <f>ExtrapolationFactorPartner1</f>
        <v>2</v>
      </c>
      <c r="O3" s="127"/>
      <c r="P3" s="127"/>
      <c r="Q3" s="128">
        <f>ExtrapolationFactorPartner1+1</f>
        <v>3</v>
      </c>
      <c r="R3" s="127"/>
      <c r="S3" s="127"/>
      <c r="T3" s="128">
        <f>ExtrapolationFactorPartner1+2</f>
        <v>4</v>
      </c>
      <c r="U3" s="127"/>
      <c r="V3" s="127"/>
      <c r="W3" s="128">
        <f>ExtrapolationFactorPartner1+3</f>
        <v>5</v>
      </c>
      <c r="X3" s="127"/>
      <c r="Y3" s="127"/>
      <c r="Z3" s="128">
        <f>ExtrapolationFactorPartner1+4</f>
        <v>6</v>
      </c>
      <c r="AA3" s="127"/>
      <c r="AB3" s="127"/>
      <c r="AC3" s="128">
        <f>ExtrapolationFactorPartner1+5</f>
        <v>7</v>
      </c>
      <c r="AD3" s="127"/>
      <c r="AE3" s="127"/>
      <c r="AF3" s="128">
        <f>ExtrapolationFactorPartner1+6</f>
        <v>8</v>
      </c>
      <c r="AG3" s="127"/>
      <c r="AH3" s="127"/>
      <c r="AI3" s="128">
        <f>ExtrapolationFactorPartner1+7</f>
        <v>9</v>
      </c>
      <c r="AJ3" s="127"/>
      <c r="AK3" s="127"/>
      <c r="AL3" s="128">
        <f>ExtrapolationFactorPartner1+8</f>
        <v>10</v>
      </c>
      <c r="AM3" s="127"/>
      <c r="AN3" s="127"/>
      <c r="AO3" s="128">
        <f>ExtrapolationFactorPartner1+9</f>
        <v>11</v>
      </c>
      <c r="AP3" s="45"/>
      <c r="AQ3" s="45"/>
      <c r="AR3"/>
    </row>
    <row r="4" spans="1:47" ht="15" customHeight="1" x14ac:dyDescent="0.2">
      <c r="B4" s="140" t="s">
        <v>291</v>
      </c>
      <c r="C4" s="140"/>
      <c r="D4" s="136"/>
      <c r="G4" s="123"/>
      <c r="H4" s="123"/>
      <c r="I4" s="177"/>
      <c r="J4" s="177" t="s">
        <v>25</v>
      </c>
      <c r="N4"/>
      <c r="O4"/>
      <c r="P4"/>
      <c r="Q4"/>
      <c r="R4"/>
      <c r="S4"/>
      <c r="T4"/>
      <c r="U4"/>
      <c r="V4"/>
      <c r="W4"/>
      <c r="X4"/>
      <c r="Y4"/>
      <c r="Z4"/>
      <c r="AA4"/>
      <c r="AB4"/>
      <c r="AC4"/>
      <c r="AD4"/>
      <c r="AE4"/>
      <c r="AF4"/>
      <c r="AG4"/>
      <c r="AH4"/>
      <c r="AI4"/>
      <c r="AJ4"/>
      <c r="AK4"/>
      <c r="AL4"/>
      <c r="AM4"/>
      <c r="AN4"/>
      <c r="AO4"/>
      <c r="AP4"/>
      <c r="AQ4"/>
      <c r="AR4"/>
    </row>
    <row r="5" spans="1:47" outlineLevel="1" x14ac:dyDescent="0.2">
      <c r="A5" s="22"/>
      <c r="B5" s="460" t="s">
        <v>26</v>
      </c>
      <c r="C5" s="461"/>
      <c r="D5" s="46" t="s">
        <v>27</v>
      </c>
      <c r="E5" s="462"/>
      <c r="G5" s="172"/>
      <c r="H5" s="123"/>
      <c r="I5" s="463"/>
      <c r="J5" s="662" t="s">
        <v>28</v>
      </c>
      <c r="K5" s="178" t="s">
        <v>29</v>
      </c>
      <c r="L5" s="22"/>
      <c r="M5" s="22"/>
      <c r="N5" s="464"/>
      <c r="O5" s="465"/>
      <c r="P5" s="465"/>
      <c r="Q5" s="464"/>
      <c r="R5" s="465"/>
      <c r="S5" s="465"/>
      <c r="T5" s="464"/>
      <c r="U5" s="465"/>
      <c r="V5" s="465"/>
      <c r="W5" s="464"/>
      <c r="X5" s="465"/>
      <c r="Y5" s="465"/>
      <c r="Z5" s="464"/>
      <c r="AA5" s="465"/>
      <c r="AB5" s="465"/>
      <c r="AC5" s="464"/>
      <c r="AD5" s="465"/>
      <c r="AE5" s="465"/>
      <c r="AF5" s="464"/>
      <c r="AG5" s="465"/>
      <c r="AH5" s="465"/>
      <c r="AI5" s="464"/>
      <c r="AJ5" s="465"/>
      <c r="AK5" s="465"/>
      <c r="AL5" s="464"/>
      <c r="AM5" s="465"/>
      <c r="AN5" s="465"/>
      <c r="AO5" s="464"/>
      <c r="AP5" s="465"/>
      <c r="AQ5" s="465"/>
      <c r="AR5" s="464"/>
      <c r="AS5" s="22"/>
    </row>
    <row r="6" spans="1:47" outlineLevel="1" x14ac:dyDescent="0.2">
      <c r="A6" s="22"/>
      <c r="B6" s="466" t="str">
        <f>IFERROR(IF(InstitutionPartner1="AU","Faculty","Scientific Area"),"Faculty")</f>
        <v>Faculty</v>
      </c>
      <c r="C6" s="461"/>
      <c r="D6" s="47" t="s">
        <v>30</v>
      </c>
      <c r="E6" s="462"/>
      <c r="G6" s="123" t="s">
        <v>31</v>
      </c>
      <c r="H6" s="174">
        <f>IF(InstitutionPartner1="AU",_xlfn.XLOOKUP(FacultyPartner1,Lists!C:C,Lists!E:E),_xlfn.XLOOKUP(SciAreaPartner1,Lists!C:C,Lists!E:E))</f>
        <v>250000</v>
      </c>
      <c r="I6" s="467"/>
      <c r="J6" s="461"/>
      <c r="K6" s="22"/>
      <c r="L6" s="22"/>
      <c r="M6" s="22"/>
      <c r="N6" s="464"/>
      <c r="O6" s="465"/>
      <c r="P6" s="465"/>
      <c r="Q6" s="464"/>
      <c r="R6" s="465"/>
      <c r="S6" s="465"/>
      <c r="T6" s="464"/>
      <c r="U6" s="465"/>
      <c r="V6" s="465"/>
      <c r="W6" s="464"/>
      <c r="X6" s="465"/>
      <c r="Y6" s="465"/>
      <c r="Z6" s="464"/>
      <c r="AA6" s="465"/>
      <c r="AB6" s="465"/>
      <c r="AC6" s="464"/>
      <c r="AD6" s="465"/>
      <c r="AE6" s="465"/>
      <c r="AF6" s="464"/>
      <c r="AG6" s="465"/>
      <c r="AH6" s="465"/>
      <c r="AI6" s="464"/>
      <c r="AJ6" s="465"/>
      <c r="AK6" s="465"/>
      <c r="AL6" s="464"/>
      <c r="AM6" s="465"/>
      <c r="AN6" s="465"/>
      <c r="AO6" s="464"/>
      <c r="AP6" s="465"/>
      <c r="AQ6" s="465"/>
      <c r="AR6" s="464"/>
      <c r="AS6" s="22"/>
    </row>
    <row r="7" spans="1:47" outlineLevel="1" x14ac:dyDescent="0.2">
      <c r="A7" s="22"/>
      <c r="B7" s="466" t="s">
        <v>32</v>
      </c>
      <c r="C7" s="461"/>
      <c r="D7" s="47" t="s">
        <v>275</v>
      </c>
      <c r="E7" s="462"/>
      <c r="F7" s="467"/>
      <c r="G7" s="123"/>
      <c r="H7" s="174"/>
      <c r="I7" s="467"/>
      <c r="J7" s="461"/>
      <c r="K7" s="22"/>
      <c r="L7" s="22"/>
      <c r="M7" s="22"/>
      <c r="N7" s="464"/>
      <c r="O7" s="465"/>
      <c r="P7" s="465"/>
      <c r="Q7" s="464"/>
      <c r="R7" s="465"/>
      <c r="S7" s="465"/>
      <c r="T7" s="464"/>
      <c r="U7" s="465"/>
      <c r="V7" s="465"/>
      <c r="W7" s="464"/>
      <c r="X7" s="465"/>
      <c r="Y7" s="465"/>
      <c r="Z7" s="464"/>
      <c r="AA7" s="465"/>
      <c r="AB7" s="465"/>
      <c r="AC7" s="464"/>
      <c r="AD7" s="465"/>
      <c r="AE7" s="465"/>
      <c r="AF7" s="464"/>
      <c r="AG7" s="465"/>
      <c r="AH7" s="465"/>
      <c r="AI7" s="464"/>
      <c r="AJ7" s="465"/>
      <c r="AK7" s="465"/>
      <c r="AL7" s="464"/>
      <c r="AM7" s="465"/>
      <c r="AN7" s="465"/>
      <c r="AO7" s="464"/>
      <c r="AP7" s="465"/>
      <c r="AQ7" s="465"/>
      <c r="AR7" s="464"/>
      <c r="AS7" s="22"/>
    </row>
    <row r="8" spans="1:47" outlineLevel="1" x14ac:dyDescent="0.2">
      <c r="A8" s="22"/>
      <c r="B8" s="460" t="s">
        <v>33</v>
      </c>
      <c r="C8" s="461"/>
      <c r="D8" s="48">
        <v>46296</v>
      </c>
      <c r="E8" s="462"/>
      <c r="F8" s="319" t="s">
        <v>34</v>
      </c>
      <c r="G8" s="123" t="s">
        <v>35</v>
      </c>
      <c r="H8" s="123">
        <f>IF(AND(InstitutionPartner1="AU",$F$9=0,Foundation&lt;&gt;"DFF"),_xlfn.XLOOKUP(FacultyPartner1,Lists!C:C,Lists!F:F),IF(AND(InstitutionPartner1="AU",$F$9=0,Foundation="DFF"),_xlfn.XLOOKUP(FacultyPartner1,Lists!C:C,Lists!G:G),$F$9))</f>
        <v>80000</v>
      </c>
      <c r="I8" s="22"/>
      <c r="J8" s="460" t="s">
        <v>36</v>
      </c>
      <c r="K8" s="691"/>
      <c r="L8" s="22"/>
      <c r="M8" s="22"/>
      <c r="N8" s="464"/>
      <c r="O8" s="465"/>
      <c r="P8" s="465"/>
      <c r="Q8" s="464"/>
      <c r="R8" s="465"/>
      <c r="S8" s="465"/>
      <c r="T8" s="464"/>
      <c r="U8" s="465"/>
      <c r="V8" s="465"/>
      <c r="W8" s="464"/>
      <c r="X8" s="465"/>
      <c r="Y8" s="465"/>
      <c r="Z8" s="464"/>
      <c r="AA8" s="465"/>
      <c r="AB8" s="465"/>
      <c r="AC8" s="464"/>
      <c r="AD8" s="465"/>
      <c r="AE8" s="465"/>
      <c r="AF8" s="464"/>
      <c r="AG8" s="465"/>
      <c r="AH8" s="465"/>
      <c r="AI8" s="464"/>
      <c r="AJ8" s="465"/>
      <c r="AK8" s="465"/>
      <c r="AL8" s="464"/>
      <c r="AM8" s="465"/>
      <c r="AN8" s="465"/>
      <c r="AO8" s="464"/>
      <c r="AP8" s="465"/>
      <c r="AQ8" s="465"/>
      <c r="AR8" s="464"/>
      <c r="AS8" s="22"/>
    </row>
    <row r="9" spans="1:47" outlineLevel="1" x14ac:dyDescent="0.2">
      <c r="A9" s="22"/>
      <c r="B9" s="460" t="s">
        <v>37</v>
      </c>
      <c r="C9" s="461"/>
      <c r="D9" s="48">
        <v>48487</v>
      </c>
      <c r="E9" s="462"/>
      <c r="F9" s="341">
        <f>IF(AND(InstitutionPartner1="AU",Foundation&lt;&gt;"DFF"),_xlfn.XLOOKUP(FacultyPartner1,Lists!C:C,Lists!F:F),IF(AND(InstitutionPartner1="AU",Foundation="DFF"),_xlfn.XLOOKUP(FacultyPartner1,Lists!C:C,Lists!G:G),""))</f>
        <v>80000</v>
      </c>
      <c r="G9" s="123"/>
      <c r="H9" s="123"/>
      <c r="I9" s="468"/>
      <c r="J9" s="690" t="s">
        <v>38</v>
      </c>
      <c r="K9" s="22"/>
      <c r="L9" s="22"/>
      <c r="M9" s="22"/>
      <c r="N9" s="464"/>
      <c r="O9" s="465"/>
      <c r="P9" s="465"/>
      <c r="Q9" s="464"/>
      <c r="R9" s="465"/>
      <c r="S9" s="465"/>
      <c r="T9" s="464"/>
      <c r="U9" s="465"/>
      <c r="V9" s="465"/>
      <c r="W9" s="464"/>
      <c r="X9" s="465"/>
      <c r="Y9" s="465"/>
      <c r="Z9" s="464"/>
      <c r="AA9" s="465"/>
      <c r="AB9" s="465"/>
      <c r="AC9" s="464"/>
      <c r="AD9" s="465"/>
      <c r="AE9" s="465"/>
      <c r="AF9" s="464"/>
      <c r="AG9" s="465"/>
      <c r="AH9" s="465"/>
      <c r="AI9" s="464"/>
      <c r="AJ9" s="465"/>
      <c r="AK9" s="465"/>
      <c r="AL9" s="464"/>
      <c r="AM9" s="465"/>
      <c r="AN9" s="465"/>
      <c r="AO9" s="464"/>
      <c r="AP9" s="465"/>
      <c r="AQ9" s="465"/>
      <c r="AR9" s="464"/>
      <c r="AS9" s="22"/>
    </row>
    <row r="10" spans="1:47" outlineLevel="1" x14ac:dyDescent="0.2">
      <c r="A10" s="22"/>
      <c r="B10" s="460" t="s">
        <v>39</v>
      </c>
      <c r="C10" s="461"/>
      <c r="D10" s="48" t="s">
        <v>40</v>
      </c>
      <c r="E10" s="462"/>
      <c r="F10" s="319"/>
      <c r="G10" s="123" t="s">
        <v>41</v>
      </c>
      <c r="H10" s="174">
        <f>IFERROR(IF(_xlfn.XLOOKUP(Foundation,Foundationdropdown,Lists!Z2:Z15)=0,$F$183,_xlfn.XLOOKUP(Foundation,Foundationdropdown,Lists!Z2:Z15)),"")</f>
        <v>8000</v>
      </c>
      <c r="I10" s="22"/>
      <c r="J10" s="22"/>
      <c r="K10" s="22"/>
      <c r="L10" s="22"/>
      <c r="M10" s="22"/>
      <c r="N10" s="464"/>
      <c r="O10" s="465"/>
      <c r="P10" s="465"/>
      <c r="Q10" s="464"/>
      <c r="R10" s="465"/>
      <c r="S10" s="465"/>
      <c r="T10" s="464"/>
      <c r="U10" s="465"/>
      <c r="V10" s="465"/>
      <c r="W10" s="464"/>
      <c r="X10" s="465"/>
      <c r="Y10" s="465"/>
      <c r="Z10" s="464"/>
      <c r="AA10" s="465"/>
      <c r="AB10" s="465"/>
      <c r="AC10" s="464"/>
      <c r="AD10" s="465"/>
      <c r="AE10" s="465"/>
      <c r="AF10" s="464"/>
      <c r="AG10" s="465"/>
      <c r="AH10" s="465"/>
      <c r="AI10" s="464"/>
      <c r="AJ10" s="465"/>
      <c r="AK10" s="465"/>
      <c r="AL10" s="464"/>
      <c r="AM10" s="465"/>
      <c r="AN10" s="465"/>
      <c r="AO10" s="464"/>
      <c r="AP10" s="465"/>
      <c r="AQ10" s="465"/>
      <c r="AR10" s="464"/>
      <c r="AS10" s="22"/>
    </row>
    <row r="11" spans="1:47" outlineLevel="1" x14ac:dyDescent="0.2">
      <c r="A11" s="22"/>
      <c r="B11" s="460" t="s">
        <v>42</v>
      </c>
      <c r="C11" s="461"/>
      <c r="D11" s="49">
        <v>0.03</v>
      </c>
      <c r="E11" s="462"/>
      <c r="F11" s="319" t="s">
        <v>43</v>
      </c>
      <c r="G11" s="124"/>
      <c r="H11" s="123"/>
      <c r="I11" s="22"/>
      <c r="J11" s="460" t="s">
        <v>44</v>
      </c>
      <c r="K11" s="22" t="s">
        <v>45</v>
      </c>
      <c r="L11" s="22"/>
      <c r="M11" s="22"/>
      <c r="N11" s="464"/>
      <c r="O11" s="465"/>
      <c r="P11" s="465"/>
      <c r="Q11" s="464"/>
      <c r="R11" s="465"/>
      <c r="S11" s="465"/>
      <c r="T11" s="464"/>
      <c r="U11" s="465"/>
      <c r="V11" s="465"/>
      <c r="W11" s="464"/>
      <c r="X11" s="465"/>
      <c r="Y11" s="465"/>
      <c r="Z11" s="464"/>
      <c r="AA11" s="465"/>
      <c r="AB11" s="465"/>
      <c r="AC11" s="464"/>
      <c r="AD11" s="465"/>
      <c r="AE11" s="465"/>
      <c r="AF11" s="464"/>
      <c r="AG11" s="465"/>
      <c r="AH11" s="465"/>
      <c r="AI11" s="464"/>
      <c r="AJ11" s="465"/>
      <c r="AK11" s="465"/>
      <c r="AL11" s="464"/>
      <c r="AM11" s="465"/>
      <c r="AN11" s="465"/>
      <c r="AO11" s="464"/>
      <c r="AP11" s="465"/>
      <c r="AQ11" s="465"/>
      <c r="AR11" s="464"/>
      <c r="AS11" s="22"/>
    </row>
    <row r="12" spans="1:47" outlineLevel="1" x14ac:dyDescent="0.2">
      <c r="A12" s="22"/>
      <c r="B12" s="460" t="s">
        <v>46</v>
      </c>
      <c r="C12" s="461"/>
      <c r="D12" s="47" t="s">
        <v>47</v>
      </c>
      <c r="E12" s="462"/>
      <c r="F12" s="342">
        <f>IFERROR(IF(AND(DateFormat="Project years",MONTH($L$1)&gt;6),((YEAR($L$1)+1)-YEAR(SalaryYearPartner1)),(YEAR($L$2)-YEAR(SalaryYearPartner1))),1)</f>
        <v>2</v>
      </c>
      <c r="G12" s="124"/>
      <c r="H12" s="123"/>
      <c r="I12" s="467"/>
      <c r="J12" s="460" t="s">
        <v>48</v>
      </c>
      <c r="K12" s="22" t="s">
        <v>49</v>
      </c>
      <c r="L12" s="22"/>
      <c r="M12" s="22"/>
      <c r="N12" s="469"/>
      <c r="O12" s="470"/>
      <c r="P12" s="470"/>
      <c r="Q12" s="469"/>
      <c r="R12" s="470"/>
      <c r="S12" s="470"/>
      <c r="T12" s="469"/>
      <c r="U12" s="470"/>
      <c r="V12" s="470"/>
      <c r="W12" s="469"/>
      <c r="X12" s="470"/>
      <c r="Y12" s="470"/>
      <c r="Z12" s="469"/>
      <c r="AA12" s="470"/>
      <c r="AB12" s="470"/>
      <c r="AC12" s="469"/>
      <c r="AD12" s="470"/>
      <c r="AE12" s="470"/>
      <c r="AF12" s="469"/>
      <c r="AG12" s="470"/>
      <c r="AH12" s="470"/>
      <c r="AI12" s="469"/>
      <c r="AJ12" s="470"/>
      <c r="AK12" s="470"/>
      <c r="AL12" s="469"/>
      <c r="AM12" s="470"/>
      <c r="AN12" s="470"/>
      <c r="AO12" s="469"/>
      <c r="AP12" s="470"/>
      <c r="AQ12" s="470"/>
      <c r="AR12" s="464"/>
      <c r="AS12" s="22"/>
    </row>
    <row r="13" spans="1:47" ht="15" customHeight="1" outlineLevel="1" x14ac:dyDescent="0.2">
      <c r="A13" s="22"/>
      <c r="B13" s="471" t="str">
        <f>_xlfn.XLOOKUP(Foundation,Foundationdropdown,OHTerm,"Overhead percentage")</f>
        <v>Administrative expenses</v>
      </c>
      <c r="C13" s="461"/>
      <c r="D13" s="591">
        <f>_xlfn.XLOOKUP(Foundation,Foundationdropdown,OHFoundation,"")</f>
        <v>0</v>
      </c>
      <c r="E13" s="462"/>
      <c r="F13" s="462"/>
      <c r="G13" s="124"/>
      <c r="H13" s="123"/>
      <c r="I13" s="467"/>
      <c r="J13" s="467"/>
      <c r="K13" s="22"/>
      <c r="L13" s="22"/>
      <c r="M13" s="22"/>
      <c r="N13" s="464"/>
      <c r="O13" s="465"/>
      <c r="P13" s="465"/>
      <c r="Q13" s="464"/>
      <c r="R13" s="465"/>
      <c r="S13" s="465"/>
      <c r="T13" s="464"/>
      <c r="U13" s="465"/>
      <c r="V13" s="465"/>
      <c r="W13" s="464"/>
      <c r="X13" s="465"/>
      <c r="Y13" s="465"/>
      <c r="Z13" s="464"/>
      <c r="AA13" s="465"/>
      <c r="AB13" s="465"/>
      <c r="AC13" s="464"/>
      <c r="AD13" s="465"/>
      <c r="AE13" s="465"/>
      <c r="AF13" s="464"/>
      <c r="AG13" s="465"/>
      <c r="AH13" s="465"/>
      <c r="AI13" s="464"/>
      <c r="AJ13" s="465"/>
      <c r="AK13" s="465"/>
      <c r="AL13" s="464"/>
      <c r="AM13" s="465"/>
      <c r="AN13" s="465"/>
      <c r="AO13" s="464"/>
      <c r="AP13" s="465"/>
      <c r="AQ13" s="465"/>
      <c r="AR13" s="472"/>
      <c r="AS13" s="22"/>
    </row>
    <row r="14" spans="1:47" ht="14.25" customHeight="1" outlineLevel="1" thickBot="1" x14ac:dyDescent="0.25">
      <c r="A14" s="22"/>
      <c r="B14" s="22"/>
      <c r="C14" s="22"/>
      <c r="D14" s="22"/>
      <c r="E14" s="22"/>
      <c r="F14" s="473"/>
      <c r="G14" s="116" t="s">
        <v>50</v>
      </c>
      <c r="H14" s="116" t="s">
        <v>50</v>
      </c>
      <c r="I14" s="467"/>
      <c r="J14" s="467"/>
      <c r="K14" s="22"/>
      <c r="L14" s="22"/>
      <c r="M14" s="22"/>
      <c r="N14" s="464"/>
      <c r="O14" s="465"/>
      <c r="P14" s="465"/>
      <c r="Q14" s="464"/>
      <c r="R14" s="465"/>
      <c r="S14" s="465"/>
      <c r="T14" s="464"/>
      <c r="U14" s="465"/>
      <c r="V14" s="465"/>
      <c r="W14" s="464"/>
      <c r="X14" s="465"/>
      <c r="Y14" s="465"/>
      <c r="Z14" s="464"/>
      <c r="AA14" s="465"/>
      <c r="AB14" s="465"/>
      <c r="AC14" s="464"/>
      <c r="AD14" s="465"/>
      <c r="AE14" s="465"/>
      <c r="AF14" s="464"/>
      <c r="AG14" s="465"/>
      <c r="AH14" s="465"/>
      <c r="AI14" s="464"/>
      <c r="AJ14" s="465"/>
      <c r="AK14" s="465"/>
      <c r="AL14" s="464"/>
      <c r="AM14" s="465"/>
      <c r="AN14" s="465"/>
      <c r="AO14" s="464"/>
      <c r="AP14" s="465"/>
      <c r="AQ14" s="465"/>
      <c r="AR14" s="464"/>
      <c r="AS14" s="22"/>
    </row>
    <row r="15" spans="1:47" ht="18" customHeight="1" x14ac:dyDescent="0.2">
      <c r="B15" s="401"/>
      <c r="C15" s="402" t="s">
        <v>51</v>
      </c>
      <c r="D15" s="727"/>
      <c r="E15" s="727"/>
      <c r="F15" s="727"/>
      <c r="G15" s="391"/>
      <c r="H15" s="391"/>
      <c r="I15" s="392"/>
      <c r="J15" s="392"/>
      <c r="K15" s="392" t="str">
        <f>IFERROR("Project length: "&amp; ROUND(ABS(YEARFRAC(startDate,EOMONTH(startDate,12-MONTH(startDate)),1)+YEAR(endDate)-YEAR(startDate)-1+YEARFRAC(endDate,EOMONTH(endDate,-MONTH(endDate)),1)),2) &amp; " years","")</f>
        <v>Project length: 6 years</v>
      </c>
      <c r="L15" s="393" t="str">
        <f>IFERROR(IF(DateFormat="Calendar years",L2,"Year 1"),"20XX")</f>
        <v>Year 1</v>
      </c>
      <c r="M15" s="394"/>
      <c r="N15" s="395"/>
      <c r="O15" s="393" t="str">
        <f>IFERROR(IF(DateFormat="Calendar years",O2,"Year 2"),"20XX")</f>
        <v>Year 2</v>
      </c>
      <c r="P15" s="394"/>
      <c r="Q15" s="396"/>
      <c r="R15" s="393" t="str">
        <f>IFERROR(IF(DateFormat="Calendar years",R2,"Year 3"),"20XX")</f>
        <v>Year 3</v>
      </c>
      <c r="S15" s="394"/>
      <c r="T15" s="397"/>
      <c r="U15" s="393" t="str">
        <f>IFERROR(IF(DateFormat="Calendar years",U2,"Year 4"),"20XX")</f>
        <v>Year 4</v>
      </c>
      <c r="V15" s="394"/>
      <c r="W15" s="397"/>
      <c r="X15" s="393" t="str">
        <f>IFERROR(IF(DateFormat="Calendar years",X2,"Year 5"),"20XX")</f>
        <v>Year 5</v>
      </c>
      <c r="Y15" s="394"/>
      <c r="Z15" s="394"/>
      <c r="AA15" s="393" t="str">
        <f>IFERROR(IF(DateFormat="Calendar years",AA2,"Year 6"),"20XX")</f>
        <v>Year 6</v>
      </c>
      <c r="AB15" s="394"/>
      <c r="AC15" s="397"/>
      <c r="AD15" s="393" t="str">
        <f>IFERROR(IF(DateFormat="Calendar years",AD2,"Year 7"),"20XX")</f>
        <v>Year 7</v>
      </c>
      <c r="AE15" s="394"/>
      <c r="AF15" s="397"/>
      <c r="AG15" s="393" t="str">
        <f>IFERROR(IF(DateFormat="Calendar years",AG2,"Year 8"),"20XX")</f>
        <v>Year 8</v>
      </c>
      <c r="AH15" s="394"/>
      <c r="AI15" s="397"/>
      <c r="AJ15" s="393" t="str">
        <f>IFERROR(IF(DateFormat="Calendar years",AJ2,"Year 9"),"20XX")</f>
        <v>Year 9</v>
      </c>
      <c r="AK15" s="394"/>
      <c r="AL15" s="397"/>
      <c r="AM15" s="393" t="str">
        <f>IFERROR(IF(DateFormat="Calendar years",AM2,"Year 10"),"20XX")</f>
        <v>Year 10</v>
      </c>
      <c r="AN15" s="394"/>
      <c r="AO15" s="394"/>
      <c r="AP15" s="398" t="s">
        <v>52</v>
      </c>
      <c r="AQ15" s="399"/>
      <c r="AR15" s="400"/>
      <c r="AT15" s="722" t="s">
        <v>53</v>
      </c>
      <c r="AU15" s="133"/>
    </row>
    <row r="16" spans="1:47" ht="10.5" customHeight="1" x14ac:dyDescent="0.2">
      <c r="B16" s="373"/>
      <c r="C16" s="374"/>
      <c r="D16" s="374"/>
      <c r="E16" s="375"/>
      <c r="F16" s="375"/>
      <c r="G16" s="374"/>
      <c r="H16" s="374"/>
      <c r="I16" s="376"/>
      <c r="J16" s="376"/>
      <c r="K16" s="377"/>
      <c r="L16" s="378" t="s">
        <v>54</v>
      </c>
      <c r="M16" s="376"/>
      <c r="N16" s="379" t="s">
        <v>55</v>
      </c>
      <c r="O16" s="378" t="s">
        <v>54</v>
      </c>
      <c r="P16" s="376"/>
      <c r="Q16" s="376" t="s">
        <v>55</v>
      </c>
      <c r="R16" s="378" t="s">
        <v>54</v>
      </c>
      <c r="S16" s="376"/>
      <c r="T16" s="376" t="s">
        <v>55</v>
      </c>
      <c r="U16" s="378" t="s">
        <v>54</v>
      </c>
      <c r="V16" s="376"/>
      <c r="W16" s="376" t="s">
        <v>55</v>
      </c>
      <c r="X16" s="378" t="s">
        <v>54</v>
      </c>
      <c r="Y16" s="376"/>
      <c r="Z16" s="376" t="s">
        <v>55</v>
      </c>
      <c r="AA16" s="378" t="s">
        <v>54</v>
      </c>
      <c r="AB16" s="376"/>
      <c r="AC16" s="376" t="s">
        <v>55</v>
      </c>
      <c r="AD16" s="378" t="s">
        <v>54</v>
      </c>
      <c r="AE16" s="376"/>
      <c r="AF16" s="376" t="s">
        <v>55</v>
      </c>
      <c r="AG16" s="378" t="s">
        <v>54</v>
      </c>
      <c r="AH16" s="376"/>
      <c r="AI16" s="376" t="s">
        <v>55</v>
      </c>
      <c r="AJ16" s="378" t="s">
        <v>54</v>
      </c>
      <c r="AK16" s="376"/>
      <c r="AL16" s="376" t="s">
        <v>55</v>
      </c>
      <c r="AM16" s="378" t="s">
        <v>54</v>
      </c>
      <c r="AN16" s="376"/>
      <c r="AO16" s="376" t="s">
        <v>55</v>
      </c>
      <c r="AP16" s="381" t="s">
        <v>54</v>
      </c>
      <c r="AQ16" s="376"/>
      <c r="AR16" s="380" t="s">
        <v>55</v>
      </c>
      <c r="AT16" s="723"/>
      <c r="AU16" s="134"/>
    </row>
    <row r="17" spans="2:47" s="67" customFormat="1" ht="15" customHeight="1" thickBot="1" x14ac:dyDescent="0.25">
      <c r="B17" s="382"/>
      <c r="C17" s="383"/>
      <c r="D17" s="383"/>
      <c r="E17" s="384"/>
      <c r="F17" s="384"/>
      <c r="G17" s="385"/>
      <c r="H17" s="385"/>
      <c r="I17" s="385"/>
      <c r="J17" s="385"/>
      <c r="K17" s="386"/>
      <c r="L17" s="387">
        <f>IFERROR(IF(DateFormat="Project years",L1,L2),"")</f>
        <v>46296</v>
      </c>
      <c r="M17" s="387"/>
      <c r="N17" s="387">
        <f>IFERROR(IF(DateFormat="Project years",N1,N2),"")</f>
        <v>46660</v>
      </c>
      <c r="O17" s="388">
        <f>IFERROR(IF(DateFormat="Project years",O1,O2),"")</f>
        <v>46661</v>
      </c>
      <c r="P17" s="387"/>
      <c r="Q17" s="387">
        <f>IFERROR(IF(DateFormat="Project years",Q1,Q2),"")</f>
        <v>47026</v>
      </c>
      <c r="R17" s="388">
        <f>IFERROR(IF(DateFormat="Project years",R1,R2),"")</f>
        <v>47027</v>
      </c>
      <c r="S17" s="387"/>
      <c r="T17" s="387">
        <f>IFERROR(IF(DateFormat="Project years",T1,T2),"")</f>
        <v>47391</v>
      </c>
      <c r="U17" s="388">
        <f>IFERROR(IF(DateFormat="Project years",U1,U2),"")</f>
        <v>47392</v>
      </c>
      <c r="V17" s="387"/>
      <c r="W17" s="387">
        <f>IFERROR(IF(DateFormat="Project years",W1,W2),"")</f>
        <v>47756</v>
      </c>
      <c r="X17" s="388">
        <f>IFERROR(IF(DateFormat="Project years",X1,X2),"")</f>
        <v>47757</v>
      </c>
      <c r="Y17" s="387"/>
      <c r="Z17" s="387">
        <f>IFERROR(IF(DateFormat="Project years",Z1,Z2),"")</f>
        <v>48121</v>
      </c>
      <c r="AA17" s="388">
        <f>IFERROR(IF(DateFormat="Project years",AA1,AA2),"")</f>
        <v>48122</v>
      </c>
      <c r="AB17" s="387"/>
      <c r="AC17" s="387">
        <f>IFERROR(IF(DateFormat="Project years",AC1,AC2),"")</f>
        <v>48487</v>
      </c>
      <c r="AD17" s="388" t="str">
        <f>IFERROR(IF(DateFormat="Project years",AD1,AD2),"")</f>
        <v/>
      </c>
      <c r="AE17" s="387"/>
      <c r="AF17" s="387" t="str">
        <f>IFERROR(IF(DateFormat="Project years",AF1,AF2),"")</f>
        <v/>
      </c>
      <c r="AG17" s="388" t="str">
        <f>IFERROR(IF(DateFormat="Project years",AG1,AG2),"")</f>
        <v/>
      </c>
      <c r="AH17" s="387"/>
      <c r="AI17" s="387" t="str">
        <f>IFERROR(IF(DateFormat="Project years",AI1,AI2),"")</f>
        <v/>
      </c>
      <c r="AJ17" s="388" t="str">
        <f>IFERROR(IF(DateFormat="Project years",AJ1,AJ2),"")</f>
        <v/>
      </c>
      <c r="AK17" s="387"/>
      <c r="AL17" s="387" t="str">
        <f>IFERROR(IF(DateFormat="Project years",AL1,AL2),"")</f>
        <v/>
      </c>
      <c r="AM17" s="388" t="str">
        <f>IFERROR(IF(DateFormat="Project years",AM1,AM2),"")</f>
        <v/>
      </c>
      <c r="AN17" s="387"/>
      <c r="AO17" s="387" t="str">
        <f>IFERROR(IF(DateFormat="Project years",AO1,AO2),"")</f>
        <v/>
      </c>
      <c r="AP17" s="390">
        <f>IF(startDate="","",startDate)</f>
        <v>46296</v>
      </c>
      <c r="AQ17" s="387"/>
      <c r="AR17" s="389">
        <f>IF(endDate="","",endDate)</f>
        <v>48487</v>
      </c>
      <c r="AS17"/>
      <c r="AT17" s="724"/>
      <c r="AU17" s="134"/>
    </row>
    <row r="18" spans="2:47" ht="25" customHeight="1" outlineLevel="1" x14ac:dyDescent="0.25">
      <c r="B18" s="427" t="s">
        <v>56</v>
      </c>
      <c r="C18" s="428"/>
      <c r="D18" s="428"/>
      <c r="E18" s="429"/>
      <c r="F18" s="429"/>
      <c r="G18" s="430"/>
      <c r="H18" s="430"/>
      <c r="I18" s="431"/>
      <c r="J18" s="432"/>
      <c r="K18" s="433" t="s">
        <v>57</v>
      </c>
      <c r="L18" s="434">
        <f>IFERROR(ROUND(IF(MONTH(L17)=MONTH(N17),((YEAR(N17)-YEAR(L17))*12)-12+(12-MONTH(L17))+MONTH(N17)-1+(EOMONTH(L17,0)-L17+1)/DAY(EOMONTH(L17,0))+(1-(EOMONTH(N17,0)-N17)/DAY(EOMONTH(N17,0))),((YEAR(N17)-YEAR(L17))*12)-12+(12-MONTH(L17))+MONTH(N17)-1+(EOMONTH(L17,0)-L17+1)/DAY(EOMONTH(L17,0))+(1-(EOMONTH(N17,0)-N17)/DAY(EOMONTH(N17,0)))),2),0)</f>
        <v>12</v>
      </c>
      <c r="M18" s="434"/>
      <c r="N18" s="435"/>
      <c r="O18" s="434">
        <f>IFERROR(ROUND(IF(MONTH(O17)=MONTH(Q17),((YEAR(Q17)-YEAR(O17))*12)-12+(12-MONTH(O17))+MONTH(Q17)-1+(EOMONTH(O17,0)-O17+1)/DAY(EOMONTH(O17,0))+(1-(EOMONTH(Q17,0)-Q17)/DAY(EOMONTH(Q17,0))),((YEAR(Q17)-YEAR(O17))*12)-12+(12-MONTH(O17))+MONTH(Q17)-1+(EOMONTH(O17,0)-O17+1)/DAY(EOMONTH(O17,0))+(1-(EOMONTH(Q17,0)-Q17)/DAY(EOMONTH(Q17,0)))),2),0)</f>
        <v>12</v>
      </c>
      <c r="P18" s="434"/>
      <c r="Q18" s="435"/>
      <c r="R18" s="434">
        <f>IFERROR(ROUND(IF(MONTH(R17)=MONTH(T17),((YEAR(T17)-YEAR(R17))*12)-12+(12-MONTH(R17))+MONTH(T17)-1+(EOMONTH(R17,0)-R17+1)/DAY(EOMONTH(R17,0))+(1-(EOMONTH(T17,0)-T17)/DAY(EOMONTH(T17,0))),((YEAR(T17)-YEAR(R17))*12)-12+(12-MONTH(R17))+MONTH(T17)-1+(EOMONTH(R17,0)-R17+1)/DAY(EOMONTH(R17,0))+(1-(EOMONTH(T17,0)-T17)/DAY(EOMONTH(T17,0)))),2),0)</f>
        <v>12</v>
      </c>
      <c r="S18" s="434"/>
      <c r="T18" s="435"/>
      <c r="U18" s="434">
        <f>IFERROR(ROUND(IF(MONTH(U17)=MONTH(W17),((YEAR(W17)-YEAR(U17))*12)-12+(12-MONTH(U17))+MONTH(W17)-1+(EOMONTH(U17,0)-U17+1)/DAY(EOMONTH(U17,0))+(1-(EOMONTH(W17,0)-W17)/DAY(EOMONTH(W17,0))),((YEAR(W17)-YEAR(U17))*12)-12+(12-MONTH(U17))+MONTH(W17)-1+(EOMONTH(U17,0)-U17+1)/DAY(EOMONTH(U17,0))+(1-(EOMONTH(W17,0)-W17)/DAY(EOMONTH(W17,0)))),2),0)</f>
        <v>12</v>
      </c>
      <c r="V18" s="434"/>
      <c r="W18" s="435"/>
      <c r="X18" s="434">
        <f>IFERROR(ROUND(IF(MONTH(X17)=MONTH(Z17),((YEAR(Z17)-YEAR(X17))*12)-12+(12-MONTH(X17))+MONTH(Z17)-1+(EOMONTH(X17,0)-X17+1)/DAY(EOMONTH(X17,0))+(1-(EOMONTH(Z17,0)-Z17)/DAY(EOMONTH(Z17,0))),((YEAR(Z17)-YEAR(X17))*12)-12+(12-MONTH(X17))+MONTH(Z17)-1+(EOMONTH(X17,0)-X17+1)/DAY(EOMONTH(X17,0))+(1-(EOMONTH(Z17,0)-Z17)/DAY(EOMONTH(Z17,0)))),2),0)</f>
        <v>12</v>
      </c>
      <c r="Y18" s="434"/>
      <c r="Z18" s="435"/>
      <c r="AA18" s="434">
        <f>IFERROR(ROUND(IF(MONTH(AA17)=MONTH(AC17),((YEAR(AC17)-YEAR(AA17))*12)-12+(12-MONTH(AA17))+MONTH(AC17)-1+(EOMONTH(AA17,0)-AA17+1)/DAY(EOMONTH(AA17,0))+(1-(EOMONTH(AC17,0)-AC17)/DAY(EOMONTH(AC17,0))),((YEAR(AC17)-YEAR(AA17))*12)-12+(12-MONTH(AA17))+MONTH(AC17)-1+(EOMONTH(AA17,0)-AA17+1)/DAY(EOMONTH(AA17,0))+(1-(EOMONTH(AC17,0)-AC17)/DAY(EOMONTH(AC17,0)))),2),0)</f>
        <v>12</v>
      </c>
      <c r="AB18" s="434"/>
      <c r="AC18" s="435"/>
      <c r="AD18" s="434">
        <f>IFERROR(ROUND(IF(MONTH(AD17)=MONTH(AF17),((YEAR(AF17)-YEAR(AD17))*12)-12+(12-MONTH(AD17))+MONTH(AF17)-1+(EOMONTH(AD17,0)-AD17+1)/DAY(EOMONTH(AD17,0))+(1-(EOMONTH(AF17,0)-AF17)/DAY(EOMONTH(AF17,0))),((YEAR(AF17)-YEAR(AD17))*12)-12+(12-MONTH(AD17))+MONTH(AF17)-1+(EOMONTH(AD17,0)-AD17+1)/DAY(EOMONTH(AD17,0))+(1-(EOMONTH(AF17,0)-AF17)/DAY(EOMONTH(AF17,0)))),2),0)</f>
        <v>0</v>
      </c>
      <c r="AE18" s="434"/>
      <c r="AF18" s="435"/>
      <c r="AG18" s="434">
        <f>IFERROR(ROUND(IF(MONTH(AG17)=MONTH(AI17),((YEAR(AI17)-YEAR(AG17))*12)-12+(12-MONTH(AG17))+MONTH(AI17)-1+(EOMONTH(AG17,0)-AG17+1)/DAY(EOMONTH(AG17,0))+(1-(EOMONTH(AI17,0)-AI17)/DAY(EOMONTH(AI17,0))),((YEAR(AI17)-YEAR(AG17))*12)-12+(12-MONTH(AG17))+MONTH(AI17)-1+(EOMONTH(AG17,0)-AG17+1)/DAY(EOMONTH(AG17,0))+(1-(EOMONTH(AI17,0)-AI17)/DAY(EOMONTH(AI17,0)))),2),0)</f>
        <v>0</v>
      </c>
      <c r="AH18" s="434"/>
      <c r="AI18" s="435"/>
      <c r="AJ18" s="434">
        <f>IFERROR(ROUND(IF(MONTH(AJ17)=MONTH(AL17),((YEAR(AL17)-YEAR(AJ17))*12)-12+(12-MONTH(AJ17))+MONTH(AL17)-1+(EOMONTH(AJ17,0)-AJ17+1)/DAY(EOMONTH(AJ17,0))+(1-(EOMONTH(AL17,0)-AL17)/DAY(EOMONTH(AL17,0))),((YEAR(AL17)-YEAR(AJ17))*12)-12+(12-MONTH(AJ17))+MONTH(AL17)-1+(EOMONTH(AJ17,0)-AJ17+1)/DAY(EOMONTH(AJ17,0))+(1-(EOMONTH(AL17,0)-AL17)/DAY(EOMONTH(AL17,0)))),2),0)</f>
        <v>0</v>
      </c>
      <c r="AK18" s="434"/>
      <c r="AL18" s="435"/>
      <c r="AM18" s="434">
        <f>IFERROR(ROUND(IF(MONTH(AM17)=MONTH(AO17),((YEAR(AO17)-YEAR(AM17))*12)-12+(12-MONTH(AM17))+MONTH(AO17)-1+(EOMONTH(AM17,0)-AM17+1)/DAY(EOMONTH(AM17,0))+(1-(EOMONTH(AO17,0)-AO17)/DAY(EOMONTH(AO17,0))),((YEAR(AO17)-YEAR(AM17))*12)-12+(12-MONTH(AM17))+MONTH(AO17)-1+(EOMONTH(AM17,0)-AM17+1)/DAY(EOMONTH(AM17,0))+(1-(EOMONTH(AO17,0)-AO17)/DAY(EOMONTH(AO17,0)))),2),0)</f>
        <v>0</v>
      </c>
      <c r="AN18" s="434"/>
      <c r="AO18" s="435"/>
      <c r="AP18" s="550">
        <f>IFERROR(ROUND(IF(MONTH(AP17)=MONTH(AR17),((YEAR(AR17)-YEAR(AP17))*12)-12+(12-MONTH(AP17))+MONTH(AR17)-1+(EOMONTH(AP17,0)-AP17+1)/DAY(EOMONTH(AP17,0))+(1-(EOMONTH(AR17,0)-AR17)/DAY(EOMONTH(AR17,0))),((YEAR(AR17)-YEAR(AP17))*12)-12+(12-MONTH(AP17))+MONTH(AR17)-1+(EOMONTH(AP17,0)-AP17+1)/DAY(EOMONTH(AP17,0))+(1-(EOMONTH(AR17,0)-AR17)/DAY(EOMONTH(AR17,0)))),2),"")</f>
        <v>72</v>
      </c>
      <c r="AQ18" s="434"/>
      <c r="AR18" s="436"/>
      <c r="AT18" s="586">
        <v>1924</v>
      </c>
    </row>
    <row r="19" spans="2:47" ht="15" customHeight="1" outlineLevel="1" x14ac:dyDescent="0.2">
      <c r="B19" s="437"/>
      <c r="C19" s="728" t="s">
        <v>58</v>
      </c>
      <c r="D19" s="729"/>
      <c r="E19" s="729"/>
      <c r="F19" s="108" t="s">
        <v>59</v>
      </c>
      <c r="G19" s="117" t="s">
        <v>60</v>
      </c>
      <c r="H19" s="117" t="s">
        <v>61</v>
      </c>
      <c r="I19" s="43" t="s">
        <v>62</v>
      </c>
      <c r="J19" s="43" t="s">
        <v>63</v>
      </c>
      <c r="K19" s="673" t="s">
        <v>64</v>
      </c>
      <c r="L19" s="114" t="s">
        <v>65</v>
      </c>
      <c r="M19" s="43" t="s">
        <v>66</v>
      </c>
      <c r="N19" s="114" t="s">
        <v>67</v>
      </c>
      <c r="O19" s="118" t="s">
        <v>65</v>
      </c>
      <c r="P19" s="114" t="s">
        <v>66</v>
      </c>
      <c r="Q19" s="119" t="s">
        <v>67</v>
      </c>
      <c r="R19" s="118" t="s">
        <v>65</v>
      </c>
      <c r="S19" s="114" t="s">
        <v>66</v>
      </c>
      <c r="T19" s="119" t="s">
        <v>67</v>
      </c>
      <c r="U19" s="118" t="s">
        <v>65</v>
      </c>
      <c r="V19" s="114" t="s">
        <v>66</v>
      </c>
      <c r="W19" s="119" t="s">
        <v>67</v>
      </c>
      <c r="X19" s="114" t="s">
        <v>65</v>
      </c>
      <c r="Y19" s="114" t="s">
        <v>66</v>
      </c>
      <c r="Z19" s="120" t="s">
        <v>67</v>
      </c>
      <c r="AA19" s="118" t="s">
        <v>65</v>
      </c>
      <c r="AB19" s="114" t="s">
        <v>66</v>
      </c>
      <c r="AC19" s="119" t="s">
        <v>67</v>
      </c>
      <c r="AD19" s="118" t="s">
        <v>65</v>
      </c>
      <c r="AE19" s="114" t="s">
        <v>66</v>
      </c>
      <c r="AF19" s="119" t="s">
        <v>67</v>
      </c>
      <c r="AG19" s="118" t="s">
        <v>65</v>
      </c>
      <c r="AH19" s="114" t="s">
        <v>66</v>
      </c>
      <c r="AI19" s="119" t="s">
        <v>67</v>
      </c>
      <c r="AJ19" s="118" t="s">
        <v>65</v>
      </c>
      <c r="AK19" s="114" t="s">
        <v>66</v>
      </c>
      <c r="AL19" s="119" t="s">
        <v>67</v>
      </c>
      <c r="AM19" s="114" t="s">
        <v>65</v>
      </c>
      <c r="AN19" s="114" t="s">
        <v>66</v>
      </c>
      <c r="AO19" s="120" t="s">
        <v>67</v>
      </c>
      <c r="AP19" s="121" t="s">
        <v>65</v>
      </c>
      <c r="AQ19" s="114" t="s">
        <v>66</v>
      </c>
      <c r="AR19" s="122" t="s">
        <v>67</v>
      </c>
      <c r="AT19" s="344" t="s">
        <v>68</v>
      </c>
    </row>
    <row r="20" spans="2:47" ht="15.75" customHeight="1" outlineLevel="1" x14ac:dyDescent="0.2">
      <c r="B20" s="437"/>
      <c r="C20" s="730" t="s">
        <v>155</v>
      </c>
      <c r="D20" s="731"/>
      <c r="E20" s="732"/>
      <c r="F20" s="66"/>
      <c r="G20" s="181">
        <f>_xlfn.XLOOKUP(C20,Lists!$N$3:$N$15,Lists!$O$3:$O$15,"")</f>
        <v>1</v>
      </c>
      <c r="H20" s="50">
        <f>J20/37</f>
        <v>1</v>
      </c>
      <c r="I20" s="137">
        <f>_xlfn.XLOOKUP(C20,'AU salary costs 2025'!$B$7:$B$35,'AU salary costs 2025'!$D$7:$D$35, "-")</f>
        <v>52000</v>
      </c>
      <c r="J20" s="47">
        <v>37</v>
      </c>
      <c r="K20" s="578"/>
      <c r="L20" s="142">
        <v>12</v>
      </c>
      <c r="M20" s="45">
        <f>$H20*(L20/12)</f>
        <v>1</v>
      </c>
      <c r="N20" s="98">
        <f t="shared" ref="N20:N35" si="0">IFERROR($I20*$J20/37*(1+PLPartner1)^N$3*L20,"")</f>
        <v>662001.6</v>
      </c>
      <c r="O20" s="142">
        <v>12</v>
      </c>
      <c r="P20" s="45">
        <f>$H20*(O20/12)</f>
        <v>1</v>
      </c>
      <c r="Q20" s="98">
        <f t="shared" ref="Q20:Q35" si="1">IFERROR($I20*$J20/37*(1+PLPartner1)^Q$3*O20,"")</f>
        <v>681861.64800000004</v>
      </c>
      <c r="R20" s="142">
        <v>12</v>
      </c>
      <c r="S20" s="45">
        <f>$H20*(R20/12)</f>
        <v>1</v>
      </c>
      <c r="T20" s="98">
        <f t="shared" ref="T20:T35" si="2">IFERROR($I20*$J20/37*(1+PLPartner1)^T$3*R20,"")</f>
        <v>702317.49743999995</v>
      </c>
      <c r="U20" s="142"/>
      <c r="V20" s="45">
        <f>$H20*(U20/12)</f>
        <v>0</v>
      </c>
      <c r="W20" s="98">
        <f t="shared" ref="W20:W35" si="3">IFERROR($I20*$J20/37*(1+PLPartner1)^W$3*U20,"")</f>
        <v>0</v>
      </c>
      <c r="X20" s="143"/>
      <c r="Y20" s="45">
        <f>$H20*(X20/12)</f>
        <v>0</v>
      </c>
      <c r="Z20" s="98">
        <f t="shared" ref="Z20:Z35" si="4">IFERROR($I20*$J20/37*(1+PLPartner1)^Z$3*X20,"")</f>
        <v>0</v>
      </c>
      <c r="AA20" s="142"/>
      <c r="AB20" s="45">
        <f>$H20*(AA20/12)</f>
        <v>0</v>
      </c>
      <c r="AC20" s="98">
        <f t="shared" ref="AC20:AC35" si="5">IFERROR($I20*$J20/37*(1+PLPartner1)^AC$3*AA20,"")</f>
        <v>0</v>
      </c>
      <c r="AD20" s="142"/>
      <c r="AE20" s="45">
        <f>$H20*(AD20/12)</f>
        <v>0</v>
      </c>
      <c r="AF20" s="98">
        <f t="shared" ref="AF20:AF35" si="6">IFERROR($I20*$J20/37*(1+PLPartner1)^AF$3*AD20,"")</f>
        <v>0</v>
      </c>
      <c r="AG20" s="142"/>
      <c r="AH20" s="45">
        <f>$H20*(AG20/12)</f>
        <v>0</v>
      </c>
      <c r="AI20" s="98">
        <f t="shared" ref="AI20:AI35" si="7">IFERROR($I20*$J20/37*(1+PLPartner1)^AI$3*AG20,"")</f>
        <v>0</v>
      </c>
      <c r="AJ20" s="142"/>
      <c r="AK20" s="45">
        <f>$H20*(AJ20/12)</f>
        <v>0</v>
      </c>
      <c r="AL20" s="98">
        <f t="shared" ref="AL20:AL35" si="8">IFERROR($I20*$J20/37*(1+PLPartner1)^AL$3*AJ20,"")</f>
        <v>0</v>
      </c>
      <c r="AM20" s="142"/>
      <c r="AN20" s="45">
        <f>$H20*(AM20/12)</f>
        <v>0</v>
      </c>
      <c r="AO20" s="549">
        <f t="shared" ref="AO20:AO35" si="9">IFERROR($I20*$J20/37*(1+PLPartner1)^AO$3*AM20,"")</f>
        <v>0</v>
      </c>
      <c r="AP20" s="99">
        <f t="shared" ref="AP20:AP35" si="10">SUM(L20,O20,R20,U20,X20,AA20,AD20,AG20,AJ20,AM20)</f>
        <v>36</v>
      </c>
      <c r="AQ20" s="551">
        <f>SUM(M20,P20,S20,V20,Y20,AB20,AE20,AH20,AK20,AN20)</f>
        <v>3</v>
      </c>
      <c r="AR20" s="81">
        <f>SUM(N20,Q20,T20,W20,Z20,AC20,AF20,AI20,AL20,AO20)</f>
        <v>2046180.7454400002</v>
      </c>
      <c r="AT20" s="129">
        <f t="shared" ref="AT20:AT36" si="11">AQ20*$AT$18</f>
        <v>5772</v>
      </c>
    </row>
    <row r="21" spans="2:47" ht="15" customHeight="1" outlineLevel="1" x14ac:dyDescent="0.2">
      <c r="B21" s="437"/>
      <c r="C21" s="705" t="s">
        <v>155</v>
      </c>
      <c r="D21" s="706"/>
      <c r="E21" s="707"/>
      <c r="F21" s="66"/>
      <c r="G21" s="179">
        <f>_xlfn.XLOOKUP(C21,Lists!$N$3:$N$15,Lists!$O$3:$O$15,"")</f>
        <v>1</v>
      </c>
      <c r="H21" s="51">
        <f t="shared" ref="H21:H35" si="12">J21/37</f>
        <v>1</v>
      </c>
      <c r="I21" s="137">
        <f>_xlfn.XLOOKUP(C21,'AU salary costs 2025'!$B$7:$B$35,'AU salary costs 2025'!$D$7:$D$35, "-")</f>
        <v>52000</v>
      </c>
      <c r="J21" s="47">
        <v>37</v>
      </c>
      <c r="K21" s="578"/>
      <c r="L21" s="142"/>
      <c r="M21" s="45">
        <f t="shared" ref="M21:M35" si="13">$H21*(L21/12)</f>
        <v>0</v>
      </c>
      <c r="N21" s="98">
        <f t="shared" si="0"/>
        <v>0</v>
      </c>
      <c r="O21" s="142">
        <v>12</v>
      </c>
      <c r="P21" s="45">
        <f t="shared" ref="P21:P35" si="14">$H21*(O21/12)</f>
        <v>1</v>
      </c>
      <c r="Q21" s="98">
        <f t="shared" si="1"/>
        <v>681861.64800000004</v>
      </c>
      <c r="R21" s="142">
        <v>12</v>
      </c>
      <c r="S21" s="45">
        <f t="shared" ref="S21:S35" si="15">$H21*(R21/12)</f>
        <v>1</v>
      </c>
      <c r="T21" s="98">
        <f t="shared" si="2"/>
        <v>702317.49743999995</v>
      </c>
      <c r="U21" s="142">
        <v>12</v>
      </c>
      <c r="V21" s="45">
        <f t="shared" ref="V21:V35" si="16">$H21*(U21/12)</f>
        <v>1</v>
      </c>
      <c r="W21" s="98">
        <f t="shared" si="3"/>
        <v>723387.02236319997</v>
      </c>
      <c r="X21" s="143"/>
      <c r="Y21" s="45">
        <f t="shared" ref="Y21:Y35" si="17">$H21*(X21/12)</f>
        <v>0</v>
      </c>
      <c r="Z21" s="98">
        <f t="shared" si="4"/>
        <v>0</v>
      </c>
      <c r="AA21" s="142"/>
      <c r="AB21" s="45">
        <f t="shared" ref="AB21:AB35" si="18">$H21*(AA21/12)</f>
        <v>0</v>
      </c>
      <c r="AC21" s="98">
        <f t="shared" si="5"/>
        <v>0</v>
      </c>
      <c r="AD21" s="142"/>
      <c r="AE21" s="45">
        <f t="shared" ref="AE21:AE35" si="19">$H21*(AD21/12)</f>
        <v>0</v>
      </c>
      <c r="AF21" s="98">
        <f t="shared" si="6"/>
        <v>0</v>
      </c>
      <c r="AG21" s="142"/>
      <c r="AH21" s="45">
        <f t="shared" ref="AH21:AH35" si="20">$H21*(AG21/12)</f>
        <v>0</v>
      </c>
      <c r="AI21" s="98">
        <f t="shared" si="7"/>
        <v>0</v>
      </c>
      <c r="AJ21" s="142"/>
      <c r="AK21" s="45">
        <f t="shared" ref="AK21:AK35" si="21">$H21*(AJ21/12)</f>
        <v>0</v>
      </c>
      <c r="AL21" s="98">
        <f t="shared" si="8"/>
        <v>0</v>
      </c>
      <c r="AM21" s="142"/>
      <c r="AN21" s="45">
        <f t="shared" ref="AN21:AN35" si="22">$H21*(AM21/12)</f>
        <v>0</v>
      </c>
      <c r="AO21" s="549">
        <f t="shared" si="9"/>
        <v>0</v>
      </c>
      <c r="AP21" s="99">
        <f t="shared" si="10"/>
        <v>36</v>
      </c>
      <c r="AQ21" s="551">
        <f t="shared" ref="AQ21:AQ35" si="23">SUM(M21,P21,S21,V21,Y21,AB21,AE21,AH21,AK21,AN21)</f>
        <v>3</v>
      </c>
      <c r="AR21" s="81">
        <f t="shared" ref="AR21:AR35" si="24">SUM(N21,Q21,T21,W21,Z21,AC21,AF21,AI21,AL21,AO21)</f>
        <v>2107566.1678032</v>
      </c>
      <c r="AT21" s="129">
        <f t="shared" si="11"/>
        <v>5772</v>
      </c>
    </row>
    <row r="22" spans="2:47" ht="15" customHeight="1" outlineLevel="1" x14ac:dyDescent="0.2">
      <c r="B22" s="437"/>
      <c r="C22" s="705" t="s">
        <v>155</v>
      </c>
      <c r="D22" s="706"/>
      <c r="E22" s="707"/>
      <c r="F22" s="66"/>
      <c r="G22" s="179">
        <f>_xlfn.XLOOKUP(C22,Lists!$N$3:$N$15,Lists!$O$3:$O$15,"")</f>
        <v>1</v>
      </c>
      <c r="H22" s="51">
        <f t="shared" si="12"/>
        <v>1</v>
      </c>
      <c r="I22" s="137">
        <f>_xlfn.XLOOKUP(C22,'AU salary costs 2025'!$B$7:$B$35,'AU salary costs 2025'!$D$7:$D$35, "-")</f>
        <v>52000</v>
      </c>
      <c r="J22" s="47">
        <v>37</v>
      </c>
      <c r="K22" s="578"/>
      <c r="L22" s="142"/>
      <c r="M22" s="45">
        <f t="shared" si="13"/>
        <v>0</v>
      </c>
      <c r="N22" s="98">
        <f t="shared" si="0"/>
        <v>0</v>
      </c>
      <c r="O22" s="142"/>
      <c r="P22" s="45">
        <f t="shared" si="14"/>
        <v>0</v>
      </c>
      <c r="Q22" s="98">
        <f t="shared" si="1"/>
        <v>0</v>
      </c>
      <c r="R22" s="142">
        <v>6</v>
      </c>
      <c r="S22" s="45">
        <f t="shared" si="15"/>
        <v>0.5</v>
      </c>
      <c r="T22" s="98">
        <f t="shared" si="2"/>
        <v>351158.74871999997</v>
      </c>
      <c r="U22" s="142">
        <v>12</v>
      </c>
      <c r="V22" s="45">
        <f t="shared" si="16"/>
        <v>1</v>
      </c>
      <c r="W22" s="98">
        <f t="shared" si="3"/>
        <v>723387.02236319997</v>
      </c>
      <c r="X22" s="143">
        <v>12</v>
      </c>
      <c r="Y22" s="45">
        <f t="shared" si="17"/>
        <v>1</v>
      </c>
      <c r="Z22" s="98">
        <f t="shared" si="4"/>
        <v>745088.63303409587</v>
      </c>
      <c r="AA22" s="142">
        <v>6</v>
      </c>
      <c r="AB22" s="45">
        <f t="shared" si="18"/>
        <v>0.5</v>
      </c>
      <c r="AC22" s="98">
        <f t="shared" si="5"/>
        <v>383720.64601255942</v>
      </c>
      <c r="AD22" s="142"/>
      <c r="AE22" s="45">
        <f t="shared" si="19"/>
        <v>0</v>
      </c>
      <c r="AF22" s="98">
        <f t="shared" si="6"/>
        <v>0</v>
      </c>
      <c r="AG22" s="142"/>
      <c r="AH22" s="45">
        <f t="shared" si="20"/>
        <v>0</v>
      </c>
      <c r="AI22" s="98">
        <f t="shared" si="7"/>
        <v>0</v>
      </c>
      <c r="AJ22" s="142"/>
      <c r="AK22" s="45">
        <f t="shared" si="21"/>
        <v>0</v>
      </c>
      <c r="AL22" s="98">
        <f t="shared" si="8"/>
        <v>0</v>
      </c>
      <c r="AM22" s="142"/>
      <c r="AN22" s="45">
        <f t="shared" si="22"/>
        <v>0</v>
      </c>
      <c r="AO22" s="549">
        <f t="shared" si="9"/>
        <v>0</v>
      </c>
      <c r="AP22" s="99">
        <f t="shared" si="10"/>
        <v>36</v>
      </c>
      <c r="AQ22" s="551">
        <f t="shared" si="23"/>
        <v>3</v>
      </c>
      <c r="AR22" s="81">
        <f t="shared" si="24"/>
        <v>2203355.0501298551</v>
      </c>
      <c r="AT22" s="129">
        <f t="shared" si="11"/>
        <v>5772</v>
      </c>
    </row>
    <row r="23" spans="2:47" ht="15" customHeight="1" outlineLevel="1" x14ac:dyDescent="0.2">
      <c r="B23" s="437"/>
      <c r="C23" s="705" t="s">
        <v>157</v>
      </c>
      <c r="D23" s="706"/>
      <c r="E23" s="707"/>
      <c r="F23" s="66"/>
      <c r="G23" s="179">
        <f>_xlfn.XLOOKUP(C23,Lists!$N$3:$N$15,Lists!$O$3:$O$15,"")</f>
        <v>1</v>
      </c>
      <c r="H23" s="51">
        <f t="shared" si="12"/>
        <v>1</v>
      </c>
      <c r="I23" s="137">
        <f>_xlfn.XLOOKUP(C23,'AU salary costs 2025'!$B$7:$B$35,'AU salary costs 2025'!$D$7:$D$35, "-")</f>
        <v>42000</v>
      </c>
      <c r="J23" s="47">
        <v>37</v>
      </c>
      <c r="K23" s="578"/>
      <c r="L23" s="142">
        <v>6</v>
      </c>
      <c r="M23" s="45">
        <f t="shared" si="13"/>
        <v>0.5</v>
      </c>
      <c r="N23" s="98">
        <f t="shared" si="0"/>
        <v>267346.8</v>
      </c>
      <c r="O23" s="142">
        <v>12</v>
      </c>
      <c r="P23" s="45">
        <f t="shared" si="14"/>
        <v>1</v>
      </c>
      <c r="Q23" s="98">
        <f t="shared" si="1"/>
        <v>550734.40800000005</v>
      </c>
      <c r="R23" s="142">
        <v>12</v>
      </c>
      <c r="S23" s="45">
        <f t="shared" si="15"/>
        <v>1</v>
      </c>
      <c r="T23" s="98">
        <f t="shared" si="2"/>
        <v>567256.44023999991</v>
      </c>
      <c r="U23" s="142">
        <v>6</v>
      </c>
      <c r="V23" s="45">
        <f t="shared" si="16"/>
        <v>0.5</v>
      </c>
      <c r="W23" s="98">
        <f t="shared" si="3"/>
        <v>292137.06672359997</v>
      </c>
      <c r="X23" s="143"/>
      <c r="Y23" s="45">
        <f t="shared" si="17"/>
        <v>0</v>
      </c>
      <c r="Z23" s="98">
        <f t="shared" si="4"/>
        <v>0</v>
      </c>
      <c r="AA23" s="142"/>
      <c r="AB23" s="45">
        <f t="shared" si="18"/>
        <v>0</v>
      </c>
      <c r="AC23" s="98">
        <f t="shared" si="5"/>
        <v>0</v>
      </c>
      <c r="AD23" s="142"/>
      <c r="AE23" s="45">
        <f t="shared" si="19"/>
        <v>0</v>
      </c>
      <c r="AF23" s="98">
        <f t="shared" si="6"/>
        <v>0</v>
      </c>
      <c r="AG23" s="142"/>
      <c r="AH23" s="45">
        <f t="shared" si="20"/>
        <v>0</v>
      </c>
      <c r="AI23" s="98">
        <f t="shared" si="7"/>
        <v>0</v>
      </c>
      <c r="AJ23" s="142"/>
      <c r="AK23" s="45">
        <f t="shared" si="21"/>
        <v>0</v>
      </c>
      <c r="AL23" s="98">
        <f t="shared" si="8"/>
        <v>0</v>
      </c>
      <c r="AM23" s="142"/>
      <c r="AN23" s="45">
        <f t="shared" si="22"/>
        <v>0</v>
      </c>
      <c r="AO23" s="549">
        <f t="shared" si="9"/>
        <v>0</v>
      </c>
      <c r="AP23" s="99">
        <f t="shared" si="10"/>
        <v>36</v>
      </c>
      <c r="AQ23" s="551">
        <f t="shared" si="23"/>
        <v>3</v>
      </c>
      <c r="AR23" s="81">
        <f t="shared" si="24"/>
        <v>1677474.7149636</v>
      </c>
      <c r="AT23" s="129">
        <f t="shared" si="11"/>
        <v>5772</v>
      </c>
    </row>
    <row r="24" spans="2:47" outlineLevel="1" x14ac:dyDescent="0.2">
      <c r="B24" s="438"/>
      <c r="C24" s="705" t="s">
        <v>157</v>
      </c>
      <c r="D24" s="706"/>
      <c r="E24" s="707"/>
      <c r="F24" s="66"/>
      <c r="G24" s="179">
        <f>_xlfn.XLOOKUP(C24,Lists!$N$3:$N$15,Lists!$O$3:$O$15,"")</f>
        <v>1</v>
      </c>
      <c r="H24" s="51">
        <f t="shared" si="12"/>
        <v>1</v>
      </c>
      <c r="I24" s="137">
        <f>_xlfn.XLOOKUP(C24,'AU salary costs 2025'!$B$7:$B$35,'AU salary costs 2025'!$D$7:$D$35, "-")</f>
        <v>42000</v>
      </c>
      <c r="J24" s="47">
        <v>37</v>
      </c>
      <c r="K24" s="578"/>
      <c r="L24" s="142"/>
      <c r="M24" s="45">
        <f>$H24*(L24/12)</f>
        <v>0</v>
      </c>
      <c r="N24" s="98">
        <f>IFERROR($I24*$J24/37*(1+PLPartner1)^N$3*L24,"")</f>
        <v>0</v>
      </c>
      <c r="O24" s="142"/>
      <c r="P24" s="45">
        <f t="shared" si="14"/>
        <v>0</v>
      </c>
      <c r="Q24" s="98">
        <f t="shared" si="1"/>
        <v>0</v>
      </c>
      <c r="R24" s="142">
        <v>6</v>
      </c>
      <c r="S24" s="45">
        <f t="shared" si="15"/>
        <v>0.5</v>
      </c>
      <c r="T24" s="98">
        <f t="shared" si="2"/>
        <v>283628.22011999995</v>
      </c>
      <c r="U24" s="142">
        <v>12</v>
      </c>
      <c r="V24" s="45">
        <f t="shared" si="16"/>
        <v>1</v>
      </c>
      <c r="W24" s="98">
        <f t="shared" si="3"/>
        <v>584274.13344719994</v>
      </c>
      <c r="X24" s="143">
        <v>12</v>
      </c>
      <c r="Y24" s="45">
        <f t="shared" si="17"/>
        <v>1</v>
      </c>
      <c r="Z24" s="98">
        <f t="shared" si="4"/>
        <v>601802.35745061596</v>
      </c>
      <c r="AA24" s="142">
        <v>6</v>
      </c>
      <c r="AB24" s="45">
        <f t="shared" si="18"/>
        <v>0.5</v>
      </c>
      <c r="AC24" s="98">
        <f t="shared" si="5"/>
        <v>309928.21408706723</v>
      </c>
      <c r="AD24" s="142"/>
      <c r="AE24" s="45">
        <f t="shared" si="19"/>
        <v>0</v>
      </c>
      <c r="AF24" s="98">
        <f t="shared" si="6"/>
        <v>0</v>
      </c>
      <c r="AG24" s="142"/>
      <c r="AH24" s="45">
        <f t="shared" si="20"/>
        <v>0</v>
      </c>
      <c r="AI24" s="98">
        <f t="shared" si="7"/>
        <v>0</v>
      </c>
      <c r="AJ24" s="142"/>
      <c r="AK24" s="45">
        <f t="shared" si="21"/>
        <v>0</v>
      </c>
      <c r="AL24" s="98">
        <f t="shared" si="8"/>
        <v>0</v>
      </c>
      <c r="AM24" s="142"/>
      <c r="AN24" s="45">
        <f t="shared" si="22"/>
        <v>0</v>
      </c>
      <c r="AO24" s="549">
        <f t="shared" si="9"/>
        <v>0</v>
      </c>
      <c r="AP24" s="99">
        <f>SUM(L24,O24,R24,U24,X24,AA24,AD24,AG24,AJ24,AM24)</f>
        <v>36</v>
      </c>
      <c r="AQ24" s="551">
        <f t="shared" si="23"/>
        <v>3</v>
      </c>
      <c r="AR24" s="81">
        <f t="shared" si="24"/>
        <v>1779632.925104883</v>
      </c>
      <c r="AT24" s="129">
        <f t="shared" si="11"/>
        <v>5772</v>
      </c>
    </row>
    <row r="25" spans="2:47" outlineLevel="1" x14ac:dyDescent="0.2">
      <c r="B25" s="438"/>
      <c r="C25" s="705" t="s">
        <v>69</v>
      </c>
      <c r="D25" s="706"/>
      <c r="E25" s="707"/>
      <c r="F25" s="66"/>
      <c r="G25" s="179" t="str">
        <f>_xlfn.XLOOKUP(C25,Lists!$N$3:$N$15,Lists!$O$3:$O$15,"")</f>
        <v/>
      </c>
      <c r="H25" s="51">
        <f t="shared" si="12"/>
        <v>1</v>
      </c>
      <c r="I25" s="137" t="str">
        <f>_xlfn.XLOOKUP(C25,'AU salary costs 2025'!$B$7:$B$35,'AU salary costs 2025'!$D$7:$D$35, "-")</f>
        <v>-</v>
      </c>
      <c r="J25" s="47">
        <v>37</v>
      </c>
      <c r="K25" s="578"/>
      <c r="L25" s="142"/>
      <c r="M25" s="45">
        <f t="shared" si="13"/>
        <v>0</v>
      </c>
      <c r="N25" s="98" t="str">
        <f t="shared" si="0"/>
        <v/>
      </c>
      <c r="O25" s="142"/>
      <c r="P25" s="45">
        <f t="shared" si="14"/>
        <v>0</v>
      </c>
      <c r="Q25" s="98" t="str">
        <f t="shared" si="1"/>
        <v/>
      </c>
      <c r="R25" s="142"/>
      <c r="S25" s="45">
        <f t="shared" si="15"/>
        <v>0</v>
      </c>
      <c r="T25" s="98" t="str">
        <f t="shared" si="2"/>
        <v/>
      </c>
      <c r="U25" s="142"/>
      <c r="V25" s="45">
        <f t="shared" si="16"/>
        <v>0</v>
      </c>
      <c r="W25" s="98" t="str">
        <f t="shared" si="3"/>
        <v/>
      </c>
      <c r="X25" s="143"/>
      <c r="Y25" s="45">
        <f t="shared" si="17"/>
        <v>0</v>
      </c>
      <c r="Z25" s="98" t="str">
        <f t="shared" si="4"/>
        <v/>
      </c>
      <c r="AA25" s="142"/>
      <c r="AB25" s="45">
        <f t="shared" si="18"/>
        <v>0</v>
      </c>
      <c r="AC25" s="98" t="str">
        <f t="shared" si="5"/>
        <v/>
      </c>
      <c r="AD25" s="142"/>
      <c r="AE25" s="45">
        <f t="shared" si="19"/>
        <v>0</v>
      </c>
      <c r="AF25" s="98" t="str">
        <f t="shared" si="6"/>
        <v/>
      </c>
      <c r="AG25" s="142"/>
      <c r="AH25" s="45">
        <f t="shared" si="20"/>
        <v>0</v>
      </c>
      <c r="AI25" s="98" t="str">
        <f t="shared" si="7"/>
        <v/>
      </c>
      <c r="AJ25" s="142"/>
      <c r="AK25" s="45">
        <f t="shared" si="21"/>
        <v>0</v>
      </c>
      <c r="AL25" s="98" t="str">
        <f t="shared" si="8"/>
        <v/>
      </c>
      <c r="AM25" s="142"/>
      <c r="AN25" s="45">
        <f t="shared" si="22"/>
        <v>0</v>
      </c>
      <c r="AO25" s="549" t="str">
        <f t="shared" si="9"/>
        <v/>
      </c>
      <c r="AP25" s="99">
        <f t="shared" si="10"/>
        <v>0</v>
      </c>
      <c r="AQ25" s="551">
        <f t="shared" si="23"/>
        <v>0</v>
      </c>
      <c r="AR25" s="81">
        <f t="shared" si="24"/>
        <v>0</v>
      </c>
      <c r="AT25" s="129">
        <f t="shared" si="11"/>
        <v>0</v>
      </c>
    </row>
    <row r="26" spans="2:47" outlineLevel="1" x14ac:dyDescent="0.2">
      <c r="B26" s="438"/>
      <c r="C26" s="705" t="s">
        <v>69</v>
      </c>
      <c r="D26" s="706"/>
      <c r="E26" s="707"/>
      <c r="F26" s="66"/>
      <c r="G26" s="179" t="str">
        <f>_xlfn.XLOOKUP(C26,Lists!$N$3:$N$15,Lists!$O$3:$O$15,"")</f>
        <v/>
      </c>
      <c r="H26" s="51">
        <f t="shared" si="12"/>
        <v>1</v>
      </c>
      <c r="I26" s="137" t="str">
        <f>_xlfn.XLOOKUP(C26,'AU salary costs 2025'!$B$7:$B$35,'AU salary costs 2025'!$D$7:$D$35, "-")</f>
        <v>-</v>
      </c>
      <c r="J26" s="47">
        <v>37</v>
      </c>
      <c r="K26" s="578"/>
      <c r="L26" s="142"/>
      <c r="M26" s="45">
        <f t="shared" si="13"/>
        <v>0</v>
      </c>
      <c r="N26" s="98" t="str">
        <f t="shared" si="0"/>
        <v/>
      </c>
      <c r="O26" s="142"/>
      <c r="P26" s="45">
        <f t="shared" si="14"/>
        <v>0</v>
      </c>
      <c r="Q26" s="98" t="str">
        <f t="shared" si="1"/>
        <v/>
      </c>
      <c r="R26" s="142"/>
      <c r="S26" s="45">
        <f t="shared" si="15"/>
        <v>0</v>
      </c>
      <c r="T26" s="98" t="str">
        <f t="shared" si="2"/>
        <v/>
      </c>
      <c r="U26" s="142"/>
      <c r="V26" s="45">
        <f t="shared" si="16"/>
        <v>0</v>
      </c>
      <c r="W26" s="98" t="str">
        <f t="shared" si="3"/>
        <v/>
      </c>
      <c r="X26" s="143"/>
      <c r="Y26" s="45">
        <f t="shared" si="17"/>
        <v>0</v>
      </c>
      <c r="Z26" s="98" t="str">
        <f t="shared" si="4"/>
        <v/>
      </c>
      <c r="AA26" s="142"/>
      <c r="AB26" s="45">
        <f t="shared" si="18"/>
        <v>0</v>
      </c>
      <c r="AC26" s="98" t="str">
        <f t="shared" si="5"/>
        <v/>
      </c>
      <c r="AD26" s="142"/>
      <c r="AE26" s="45">
        <f t="shared" si="19"/>
        <v>0</v>
      </c>
      <c r="AF26" s="98" t="str">
        <f t="shared" si="6"/>
        <v/>
      </c>
      <c r="AG26" s="142"/>
      <c r="AH26" s="45">
        <f t="shared" si="20"/>
        <v>0</v>
      </c>
      <c r="AI26" s="98" t="str">
        <f t="shared" si="7"/>
        <v/>
      </c>
      <c r="AJ26" s="142"/>
      <c r="AK26" s="45">
        <f t="shared" si="21"/>
        <v>0</v>
      </c>
      <c r="AL26" s="98" t="str">
        <f t="shared" si="8"/>
        <v/>
      </c>
      <c r="AM26" s="142"/>
      <c r="AN26" s="45">
        <f t="shared" si="22"/>
        <v>0</v>
      </c>
      <c r="AO26" s="549" t="str">
        <f t="shared" si="9"/>
        <v/>
      </c>
      <c r="AP26" s="99">
        <f t="shared" si="10"/>
        <v>0</v>
      </c>
      <c r="AQ26" s="551">
        <f t="shared" si="23"/>
        <v>0</v>
      </c>
      <c r="AR26" s="81">
        <f t="shared" si="24"/>
        <v>0</v>
      </c>
      <c r="AT26" s="129">
        <f t="shared" si="11"/>
        <v>0</v>
      </c>
    </row>
    <row r="27" spans="2:47" outlineLevel="1" x14ac:dyDescent="0.2">
      <c r="B27" s="438"/>
      <c r="C27" s="705" t="s">
        <v>69</v>
      </c>
      <c r="D27" s="706"/>
      <c r="E27" s="707"/>
      <c r="F27" s="66"/>
      <c r="G27" s="179" t="str">
        <f>_xlfn.XLOOKUP(C27,Lists!$N$3:$N$15,Lists!$O$3:$O$15,"")</f>
        <v/>
      </c>
      <c r="H27" s="51">
        <f t="shared" si="12"/>
        <v>1</v>
      </c>
      <c r="I27" s="137" t="str">
        <f>_xlfn.XLOOKUP(C27,'AU salary costs 2025'!$B$7:$B$35,'AU salary costs 2025'!$D$7:$D$35, "-")</f>
        <v>-</v>
      </c>
      <c r="J27" s="47">
        <v>37</v>
      </c>
      <c r="K27" s="578"/>
      <c r="L27" s="142"/>
      <c r="M27" s="45">
        <f t="shared" si="13"/>
        <v>0</v>
      </c>
      <c r="N27" s="98" t="str">
        <f t="shared" si="0"/>
        <v/>
      </c>
      <c r="O27" s="142"/>
      <c r="P27" s="45">
        <f t="shared" si="14"/>
        <v>0</v>
      </c>
      <c r="Q27" s="98" t="str">
        <f t="shared" si="1"/>
        <v/>
      </c>
      <c r="R27" s="142"/>
      <c r="S27" s="45">
        <f t="shared" si="15"/>
        <v>0</v>
      </c>
      <c r="T27" s="98" t="str">
        <f t="shared" si="2"/>
        <v/>
      </c>
      <c r="U27" s="142"/>
      <c r="V27" s="45">
        <f t="shared" si="16"/>
        <v>0</v>
      </c>
      <c r="W27" s="98" t="str">
        <f t="shared" si="3"/>
        <v/>
      </c>
      <c r="X27" s="142"/>
      <c r="Y27" s="45">
        <f t="shared" si="17"/>
        <v>0</v>
      </c>
      <c r="Z27" s="98" t="str">
        <f t="shared" si="4"/>
        <v/>
      </c>
      <c r="AA27" s="142"/>
      <c r="AB27" s="45">
        <f t="shared" si="18"/>
        <v>0</v>
      </c>
      <c r="AC27" s="98" t="str">
        <f t="shared" si="5"/>
        <v/>
      </c>
      <c r="AD27" s="142"/>
      <c r="AE27" s="45">
        <f t="shared" si="19"/>
        <v>0</v>
      </c>
      <c r="AF27" s="98" t="str">
        <f t="shared" si="6"/>
        <v/>
      </c>
      <c r="AG27" s="142"/>
      <c r="AH27" s="45">
        <f t="shared" si="20"/>
        <v>0</v>
      </c>
      <c r="AI27" s="98" t="str">
        <f t="shared" si="7"/>
        <v/>
      </c>
      <c r="AJ27" s="142"/>
      <c r="AK27" s="45">
        <f t="shared" si="21"/>
        <v>0</v>
      </c>
      <c r="AL27" s="98" t="str">
        <f t="shared" si="8"/>
        <v/>
      </c>
      <c r="AM27" s="142"/>
      <c r="AN27" s="45">
        <f>$H27*(AM27/12)</f>
        <v>0</v>
      </c>
      <c r="AO27" s="549" t="str">
        <f t="shared" si="9"/>
        <v/>
      </c>
      <c r="AP27" s="99">
        <f t="shared" si="10"/>
        <v>0</v>
      </c>
      <c r="AQ27" s="551">
        <f t="shared" si="23"/>
        <v>0</v>
      </c>
      <c r="AR27" s="81">
        <f t="shared" si="24"/>
        <v>0</v>
      </c>
      <c r="AT27" s="129">
        <f t="shared" si="11"/>
        <v>0</v>
      </c>
    </row>
    <row r="28" spans="2:47" hidden="1" outlineLevel="2" x14ac:dyDescent="0.2">
      <c r="B28" s="438"/>
      <c r="C28" s="705" t="s">
        <v>69</v>
      </c>
      <c r="D28" s="706"/>
      <c r="E28" s="707"/>
      <c r="F28" s="66"/>
      <c r="G28" s="179" t="str">
        <f>_xlfn.XLOOKUP(C28,Lists!$N$3:$N$15,Lists!$O$3:$O$15,"")</f>
        <v/>
      </c>
      <c r="H28" s="51">
        <f t="shared" si="12"/>
        <v>1</v>
      </c>
      <c r="I28" s="137" t="str">
        <f>_xlfn.XLOOKUP(C28,'AU salary costs 2025'!$B$7:$B$35,'AU salary costs 2025'!$D$7:$D$35, "-")</f>
        <v>-</v>
      </c>
      <c r="J28" s="47">
        <v>37</v>
      </c>
      <c r="K28" s="578"/>
      <c r="L28" s="142"/>
      <c r="M28" s="45">
        <f>$H28*(L28/12)</f>
        <v>0</v>
      </c>
      <c r="N28" s="98" t="str">
        <f>IFERROR($I28*$J28/37*(1+PLPartner1)^N$3*L28,"")</f>
        <v/>
      </c>
      <c r="O28" s="142"/>
      <c r="P28" s="45">
        <f t="shared" si="14"/>
        <v>0</v>
      </c>
      <c r="Q28" s="98" t="str">
        <f t="shared" si="1"/>
        <v/>
      </c>
      <c r="R28" s="142"/>
      <c r="S28" s="45">
        <f t="shared" si="15"/>
        <v>0</v>
      </c>
      <c r="T28" s="98" t="str">
        <f t="shared" si="2"/>
        <v/>
      </c>
      <c r="U28" s="143"/>
      <c r="V28" s="45">
        <f t="shared" si="16"/>
        <v>0</v>
      </c>
      <c r="W28" s="98" t="str">
        <f t="shared" si="3"/>
        <v/>
      </c>
      <c r="X28" s="143"/>
      <c r="Y28" s="45">
        <f t="shared" si="17"/>
        <v>0</v>
      </c>
      <c r="Z28" s="98" t="str">
        <f t="shared" si="4"/>
        <v/>
      </c>
      <c r="AA28" s="143"/>
      <c r="AB28" s="45">
        <f t="shared" si="18"/>
        <v>0</v>
      </c>
      <c r="AC28" s="98" t="str">
        <f t="shared" si="5"/>
        <v/>
      </c>
      <c r="AD28" s="143"/>
      <c r="AE28" s="45">
        <f t="shared" si="19"/>
        <v>0</v>
      </c>
      <c r="AF28" s="98" t="str">
        <f t="shared" si="6"/>
        <v/>
      </c>
      <c r="AG28" s="143"/>
      <c r="AH28" s="45">
        <f t="shared" si="20"/>
        <v>0</v>
      </c>
      <c r="AI28" s="98" t="str">
        <f t="shared" si="7"/>
        <v/>
      </c>
      <c r="AJ28" s="143"/>
      <c r="AK28" s="45">
        <f t="shared" si="21"/>
        <v>0</v>
      </c>
      <c r="AL28" s="98" t="str">
        <f t="shared" si="8"/>
        <v/>
      </c>
      <c r="AM28" s="143"/>
      <c r="AN28" s="45">
        <f t="shared" si="22"/>
        <v>0</v>
      </c>
      <c r="AO28" s="549" t="str">
        <f t="shared" si="9"/>
        <v/>
      </c>
      <c r="AP28" s="99">
        <f>SUM(L28,O28,R28,U28,X28,AA28,AD28,AG28,AJ28,AM28)</f>
        <v>0</v>
      </c>
      <c r="AQ28" s="551">
        <f t="shared" si="23"/>
        <v>0</v>
      </c>
      <c r="AR28" s="81">
        <f t="shared" si="24"/>
        <v>0</v>
      </c>
      <c r="AT28" s="129">
        <f t="shared" si="11"/>
        <v>0</v>
      </c>
    </row>
    <row r="29" spans="2:47" hidden="1" outlineLevel="2" x14ac:dyDescent="0.2">
      <c r="B29" s="438"/>
      <c r="C29" s="705" t="s">
        <v>69</v>
      </c>
      <c r="D29" s="706"/>
      <c r="E29" s="707"/>
      <c r="F29" s="66"/>
      <c r="G29" s="179" t="str">
        <f>_xlfn.XLOOKUP(C29,Lists!$N$3:$N$15,Lists!$O$3:$O$15,"")</f>
        <v/>
      </c>
      <c r="H29" s="51">
        <f t="shared" si="12"/>
        <v>1</v>
      </c>
      <c r="I29" s="137" t="str">
        <f>_xlfn.XLOOKUP(C29,'AU salary costs 2025'!$B$7:$B$35,'AU salary costs 2025'!$D$7:$D$35, "-")</f>
        <v>-</v>
      </c>
      <c r="J29" s="47">
        <v>37</v>
      </c>
      <c r="K29" s="578"/>
      <c r="L29" s="142"/>
      <c r="M29" s="45">
        <f t="shared" si="13"/>
        <v>0</v>
      </c>
      <c r="N29" s="98" t="str">
        <f t="shared" si="0"/>
        <v/>
      </c>
      <c r="O29" s="142"/>
      <c r="P29" s="45">
        <f t="shared" si="14"/>
        <v>0</v>
      </c>
      <c r="Q29" s="98" t="str">
        <f t="shared" si="1"/>
        <v/>
      </c>
      <c r="R29" s="142"/>
      <c r="S29" s="45">
        <f t="shared" si="15"/>
        <v>0</v>
      </c>
      <c r="T29" s="98" t="str">
        <f t="shared" si="2"/>
        <v/>
      </c>
      <c r="U29" s="143"/>
      <c r="V29" s="45">
        <f t="shared" si="16"/>
        <v>0</v>
      </c>
      <c r="W29" s="98" t="str">
        <f t="shared" si="3"/>
        <v/>
      </c>
      <c r="X29" s="143"/>
      <c r="Y29" s="45">
        <f t="shared" si="17"/>
        <v>0</v>
      </c>
      <c r="Z29" s="98" t="str">
        <f t="shared" si="4"/>
        <v/>
      </c>
      <c r="AA29" s="143"/>
      <c r="AB29" s="45">
        <f t="shared" si="18"/>
        <v>0</v>
      </c>
      <c r="AC29" s="98" t="str">
        <f t="shared" si="5"/>
        <v/>
      </c>
      <c r="AD29" s="143"/>
      <c r="AE29" s="45">
        <f t="shared" si="19"/>
        <v>0</v>
      </c>
      <c r="AF29" s="98" t="str">
        <f t="shared" si="6"/>
        <v/>
      </c>
      <c r="AG29" s="143"/>
      <c r="AH29" s="45">
        <f t="shared" si="20"/>
        <v>0</v>
      </c>
      <c r="AI29" s="98" t="str">
        <f t="shared" si="7"/>
        <v/>
      </c>
      <c r="AJ29" s="143"/>
      <c r="AK29" s="45">
        <f t="shared" si="21"/>
        <v>0</v>
      </c>
      <c r="AL29" s="98" t="str">
        <f t="shared" si="8"/>
        <v/>
      </c>
      <c r="AM29" s="143"/>
      <c r="AN29" s="45">
        <f t="shared" si="22"/>
        <v>0</v>
      </c>
      <c r="AO29" s="549" t="str">
        <f t="shared" si="9"/>
        <v/>
      </c>
      <c r="AP29" s="99">
        <f t="shared" si="10"/>
        <v>0</v>
      </c>
      <c r="AQ29" s="551">
        <f t="shared" si="23"/>
        <v>0</v>
      </c>
      <c r="AR29" s="81">
        <f t="shared" si="24"/>
        <v>0</v>
      </c>
      <c r="AT29" s="129">
        <f t="shared" si="11"/>
        <v>0</v>
      </c>
    </row>
    <row r="30" spans="2:47" hidden="1" outlineLevel="2" x14ac:dyDescent="0.2">
      <c r="B30" s="438"/>
      <c r="C30" s="705" t="s">
        <v>69</v>
      </c>
      <c r="D30" s="706"/>
      <c r="E30" s="707"/>
      <c r="F30" s="66"/>
      <c r="G30" s="179" t="str">
        <f>_xlfn.XLOOKUP(C30,Lists!$N$3:$N$15,Lists!$O$3:$O$15,"")</f>
        <v/>
      </c>
      <c r="H30" s="51">
        <f t="shared" si="12"/>
        <v>1</v>
      </c>
      <c r="I30" s="137" t="str">
        <f>_xlfn.XLOOKUP(C30,'AU salary costs 2025'!$B$7:$B$35,'AU salary costs 2025'!$D$7:$D$35, "-")</f>
        <v>-</v>
      </c>
      <c r="J30" s="47">
        <v>37</v>
      </c>
      <c r="K30" s="578"/>
      <c r="L30" s="142"/>
      <c r="M30" s="45">
        <f t="shared" si="13"/>
        <v>0</v>
      </c>
      <c r="N30" s="98" t="str">
        <f t="shared" si="0"/>
        <v/>
      </c>
      <c r="O30" s="142"/>
      <c r="P30" s="45">
        <f t="shared" si="14"/>
        <v>0</v>
      </c>
      <c r="Q30" s="98" t="str">
        <f t="shared" si="1"/>
        <v/>
      </c>
      <c r="R30" s="142"/>
      <c r="S30" s="45">
        <f t="shared" si="15"/>
        <v>0</v>
      </c>
      <c r="T30" s="98" t="str">
        <f t="shared" si="2"/>
        <v/>
      </c>
      <c r="U30" s="143"/>
      <c r="V30" s="45">
        <f t="shared" si="16"/>
        <v>0</v>
      </c>
      <c r="W30" s="98" t="str">
        <f t="shared" si="3"/>
        <v/>
      </c>
      <c r="X30" s="143"/>
      <c r="Y30" s="45">
        <f t="shared" si="17"/>
        <v>0</v>
      </c>
      <c r="Z30" s="98" t="str">
        <f t="shared" si="4"/>
        <v/>
      </c>
      <c r="AA30" s="143"/>
      <c r="AB30" s="45">
        <f t="shared" si="18"/>
        <v>0</v>
      </c>
      <c r="AC30" s="98" t="str">
        <f t="shared" si="5"/>
        <v/>
      </c>
      <c r="AD30" s="143"/>
      <c r="AE30" s="45">
        <f t="shared" si="19"/>
        <v>0</v>
      </c>
      <c r="AF30" s="98" t="str">
        <f t="shared" si="6"/>
        <v/>
      </c>
      <c r="AG30" s="143"/>
      <c r="AH30" s="45">
        <f t="shared" si="20"/>
        <v>0</v>
      </c>
      <c r="AI30" s="98" t="str">
        <f t="shared" si="7"/>
        <v/>
      </c>
      <c r="AJ30" s="143"/>
      <c r="AK30" s="45">
        <f t="shared" si="21"/>
        <v>0</v>
      </c>
      <c r="AL30" s="98" t="str">
        <f t="shared" si="8"/>
        <v/>
      </c>
      <c r="AM30" s="143"/>
      <c r="AN30" s="45">
        <f t="shared" si="22"/>
        <v>0</v>
      </c>
      <c r="AO30" s="549" t="str">
        <f t="shared" si="9"/>
        <v/>
      </c>
      <c r="AP30" s="99">
        <f t="shared" si="10"/>
        <v>0</v>
      </c>
      <c r="AQ30" s="551">
        <f t="shared" si="23"/>
        <v>0</v>
      </c>
      <c r="AR30" s="81">
        <f t="shared" si="24"/>
        <v>0</v>
      </c>
      <c r="AT30" s="129">
        <f t="shared" si="11"/>
        <v>0</v>
      </c>
    </row>
    <row r="31" spans="2:47" hidden="1" outlineLevel="2" x14ac:dyDescent="0.2">
      <c r="B31" s="438"/>
      <c r="C31" s="705" t="s">
        <v>69</v>
      </c>
      <c r="D31" s="706"/>
      <c r="E31" s="707"/>
      <c r="F31" s="66"/>
      <c r="G31" s="179" t="str">
        <f>_xlfn.XLOOKUP(C31,Lists!$N$3:$N$15,Lists!$O$3:$O$15,"")</f>
        <v/>
      </c>
      <c r="H31" s="51">
        <f t="shared" si="12"/>
        <v>1</v>
      </c>
      <c r="I31" s="137" t="str">
        <f>_xlfn.XLOOKUP(C31,'AU salary costs 2025'!$B$7:$B$35,'AU salary costs 2025'!$D$7:$D$35, "-")</f>
        <v>-</v>
      </c>
      <c r="J31" s="47">
        <v>37</v>
      </c>
      <c r="K31" s="578"/>
      <c r="L31" s="142"/>
      <c r="M31" s="45">
        <f t="shared" si="13"/>
        <v>0</v>
      </c>
      <c r="N31" s="98" t="str">
        <f t="shared" si="0"/>
        <v/>
      </c>
      <c r="O31" s="142"/>
      <c r="P31" s="45">
        <f t="shared" si="14"/>
        <v>0</v>
      </c>
      <c r="Q31" s="98" t="str">
        <f t="shared" si="1"/>
        <v/>
      </c>
      <c r="R31" s="142"/>
      <c r="S31" s="45">
        <f t="shared" si="15"/>
        <v>0</v>
      </c>
      <c r="T31" s="98" t="str">
        <f t="shared" si="2"/>
        <v/>
      </c>
      <c r="U31" s="143"/>
      <c r="V31" s="45">
        <f t="shared" si="16"/>
        <v>0</v>
      </c>
      <c r="W31" s="98" t="str">
        <f t="shared" si="3"/>
        <v/>
      </c>
      <c r="X31" s="143"/>
      <c r="Y31" s="45">
        <f t="shared" si="17"/>
        <v>0</v>
      </c>
      <c r="Z31" s="98" t="str">
        <f t="shared" si="4"/>
        <v/>
      </c>
      <c r="AA31" s="143"/>
      <c r="AB31" s="45">
        <f t="shared" si="18"/>
        <v>0</v>
      </c>
      <c r="AC31" s="98" t="str">
        <f t="shared" si="5"/>
        <v/>
      </c>
      <c r="AD31" s="143"/>
      <c r="AE31" s="45">
        <f t="shared" si="19"/>
        <v>0</v>
      </c>
      <c r="AF31" s="98" t="str">
        <f t="shared" si="6"/>
        <v/>
      </c>
      <c r="AG31" s="143"/>
      <c r="AH31" s="45">
        <f t="shared" si="20"/>
        <v>0</v>
      </c>
      <c r="AI31" s="98" t="str">
        <f t="shared" si="7"/>
        <v/>
      </c>
      <c r="AJ31" s="143"/>
      <c r="AK31" s="45">
        <f t="shared" si="21"/>
        <v>0</v>
      </c>
      <c r="AL31" s="98" t="str">
        <f t="shared" si="8"/>
        <v/>
      </c>
      <c r="AM31" s="143"/>
      <c r="AN31" s="45">
        <f t="shared" si="22"/>
        <v>0</v>
      </c>
      <c r="AO31" s="549" t="str">
        <f t="shared" si="9"/>
        <v/>
      </c>
      <c r="AP31" s="99">
        <f t="shared" si="10"/>
        <v>0</v>
      </c>
      <c r="AQ31" s="551">
        <f t="shared" si="23"/>
        <v>0</v>
      </c>
      <c r="AR31" s="81">
        <f t="shared" si="24"/>
        <v>0</v>
      </c>
      <c r="AT31" s="129">
        <f t="shared" si="11"/>
        <v>0</v>
      </c>
    </row>
    <row r="32" spans="2:47" hidden="1" outlineLevel="2" x14ac:dyDescent="0.2">
      <c r="B32" s="438"/>
      <c r="C32" s="705" t="s">
        <v>69</v>
      </c>
      <c r="D32" s="706"/>
      <c r="E32" s="707"/>
      <c r="F32" s="66"/>
      <c r="G32" s="179" t="str">
        <f>_xlfn.XLOOKUP(C32,Lists!$N$3:$N$15,Lists!$O$3:$O$15,"")</f>
        <v/>
      </c>
      <c r="H32" s="51">
        <f t="shared" si="12"/>
        <v>1</v>
      </c>
      <c r="I32" s="137" t="str">
        <f>_xlfn.XLOOKUP(C32,'AU salary costs 2025'!$B$7:$B$35,'AU salary costs 2025'!$D$7:$D$35, "-")</f>
        <v>-</v>
      </c>
      <c r="J32" s="47">
        <v>37</v>
      </c>
      <c r="K32" s="578"/>
      <c r="L32" s="142"/>
      <c r="M32" s="45">
        <f t="shared" si="13"/>
        <v>0</v>
      </c>
      <c r="N32" s="98" t="str">
        <f t="shared" si="0"/>
        <v/>
      </c>
      <c r="O32" s="142"/>
      <c r="P32" s="45">
        <f t="shared" si="14"/>
        <v>0</v>
      </c>
      <c r="Q32" s="98" t="str">
        <f t="shared" si="1"/>
        <v/>
      </c>
      <c r="R32" s="142"/>
      <c r="S32" s="45">
        <f t="shared" si="15"/>
        <v>0</v>
      </c>
      <c r="T32" s="98" t="str">
        <f t="shared" si="2"/>
        <v/>
      </c>
      <c r="U32" s="143"/>
      <c r="V32" s="45">
        <f t="shared" si="16"/>
        <v>0</v>
      </c>
      <c r="W32" s="98" t="str">
        <f t="shared" si="3"/>
        <v/>
      </c>
      <c r="X32" s="143"/>
      <c r="Y32" s="45">
        <f t="shared" si="17"/>
        <v>0</v>
      </c>
      <c r="Z32" s="98" t="str">
        <f t="shared" si="4"/>
        <v/>
      </c>
      <c r="AA32" s="143"/>
      <c r="AB32" s="45">
        <f t="shared" si="18"/>
        <v>0</v>
      </c>
      <c r="AC32" s="98" t="str">
        <f t="shared" si="5"/>
        <v/>
      </c>
      <c r="AD32" s="143"/>
      <c r="AE32" s="45">
        <f t="shared" si="19"/>
        <v>0</v>
      </c>
      <c r="AF32" s="98" t="str">
        <f t="shared" si="6"/>
        <v/>
      </c>
      <c r="AG32" s="143"/>
      <c r="AH32" s="45">
        <f t="shared" si="20"/>
        <v>0</v>
      </c>
      <c r="AI32" s="98" t="str">
        <f t="shared" si="7"/>
        <v/>
      </c>
      <c r="AJ32" s="143"/>
      <c r="AK32" s="45">
        <f t="shared" si="21"/>
        <v>0</v>
      </c>
      <c r="AL32" s="98" t="str">
        <f t="shared" si="8"/>
        <v/>
      </c>
      <c r="AM32" s="143"/>
      <c r="AN32" s="45">
        <f t="shared" si="22"/>
        <v>0</v>
      </c>
      <c r="AO32" s="549" t="str">
        <f t="shared" si="9"/>
        <v/>
      </c>
      <c r="AP32" s="99">
        <f t="shared" si="10"/>
        <v>0</v>
      </c>
      <c r="AQ32" s="551">
        <f t="shared" si="23"/>
        <v>0</v>
      </c>
      <c r="AR32" s="81">
        <f t="shared" si="24"/>
        <v>0</v>
      </c>
      <c r="AT32" s="129">
        <f t="shared" si="11"/>
        <v>0</v>
      </c>
    </row>
    <row r="33" spans="2:46" hidden="1" outlineLevel="2" x14ac:dyDescent="0.2">
      <c r="B33" s="438"/>
      <c r="C33" s="705" t="s">
        <v>69</v>
      </c>
      <c r="D33" s="706"/>
      <c r="E33" s="707"/>
      <c r="F33" s="66"/>
      <c r="G33" s="179" t="str">
        <f>_xlfn.XLOOKUP(C33,Lists!$N$3:$N$15,Lists!$O$3:$O$15,"")</f>
        <v/>
      </c>
      <c r="H33" s="51">
        <f t="shared" si="12"/>
        <v>1</v>
      </c>
      <c r="I33" s="137" t="str">
        <f>_xlfn.XLOOKUP(C33,'AU salary costs 2025'!$B$7:$B$35,'AU salary costs 2025'!$D$7:$D$35, "-")</f>
        <v>-</v>
      </c>
      <c r="J33" s="47">
        <v>37</v>
      </c>
      <c r="K33" s="578"/>
      <c r="L33" s="142"/>
      <c r="M33" s="45">
        <f t="shared" si="13"/>
        <v>0</v>
      </c>
      <c r="N33" s="98" t="str">
        <f t="shared" si="0"/>
        <v/>
      </c>
      <c r="O33" s="142"/>
      <c r="P33" s="45">
        <f t="shared" si="14"/>
        <v>0</v>
      </c>
      <c r="Q33" s="98" t="str">
        <f t="shared" si="1"/>
        <v/>
      </c>
      <c r="R33" s="142"/>
      <c r="S33" s="45">
        <f t="shared" si="15"/>
        <v>0</v>
      </c>
      <c r="T33" s="98" t="str">
        <f t="shared" si="2"/>
        <v/>
      </c>
      <c r="U33" s="143"/>
      <c r="V33" s="45">
        <f t="shared" si="16"/>
        <v>0</v>
      </c>
      <c r="W33" s="98" t="str">
        <f t="shared" si="3"/>
        <v/>
      </c>
      <c r="X33" s="143"/>
      <c r="Y33" s="45">
        <f t="shared" si="17"/>
        <v>0</v>
      </c>
      <c r="Z33" s="98" t="str">
        <f t="shared" si="4"/>
        <v/>
      </c>
      <c r="AA33" s="143"/>
      <c r="AB33" s="45">
        <f t="shared" si="18"/>
        <v>0</v>
      </c>
      <c r="AC33" s="98" t="str">
        <f t="shared" si="5"/>
        <v/>
      </c>
      <c r="AD33" s="143"/>
      <c r="AE33" s="45">
        <f t="shared" si="19"/>
        <v>0</v>
      </c>
      <c r="AF33" s="98" t="str">
        <f t="shared" si="6"/>
        <v/>
      </c>
      <c r="AG33" s="143"/>
      <c r="AH33" s="45">
        <f t="shared" si="20"/>
        <v>0</v>
      </c>
      <c r="AI33" s="98" t="str">
        <f t="shared" si="7"/>
        <v/>
      </c>
      <c r="AJ33" s="143"/>
      <c r="AK33" s="45">
        <f t="shared" si="21"/>
        <v>0</v>
      </c>
      <c r="AL33" s="98" t="str">
        <f t="shared" si="8"/>
        <v/>
      </c>
      <c r="AM33" s="143"/>
      <c r="AN33" s="45">
        <f t="shared" si="22"/>
        <v>0</v>
      </c>
      <c r="AO33" s="549" t="str">
        <f t="shared" si="9"/>
        <v/>
      </c>
      <c r="AP33" s="99">
        <f t="shared" si="10"/>
        <v>0</v>
      </c>
      <c r="AQ33" s="551">
        <f t="shared" si="23"/>
        <v>0</v>
      </c>
      <c r="AR33" s="81">
        <f t="shared" si="24"/>
        <v>0</v>
      </c>
      <c r="AT33" s="129">
        <f t="shared" si="11"/>
        <v>0</v>
      </c>
    </row>
    <row r="34" spans="2:46" hidden="1" outlineLevel="2" x14ac:dyDescent="0.2">
      <c r="B34" s="438"/>
      <c r="C34" s="705" t="s">
        <v>69</v>
      </c>
      <c r="D34" s="706"/>
      <c r="E34" s="707"/>
      <c r="F34" s="66"/>
      <c r="G34" s="179" t="str">
        <f>_xlfn.XLOOKUP(C34,Lists!$N$3:$N$15,Lists!$O$3:$O$15,"")</f>
        <v/>
      </c>
      <c r="H34" s="51">
        <f t="shared" si="12"/>
        <v>1</v>
      </c>
      <c r="I34" s="137" t="str">
        <f>_xlfn.XLOOKUP(C34,'AU salary costs 2025'!$B$7:$B$35,'AU salary costs 2025'!$D$7:$D$35, "-")</f>
        <v>-</v>
      </c>
      <c r="J34" s="47">
        <v>37</v>
      </c>
      <c r="K34" s="578"/>
      <c r="L34" s="142"/>
      <c r="M34" s="45">
        <f t="shared" si="13"/>
        <v>0</v>
      </c>
      <c r="N34" s="98" t="str">
        <f t="shared" si="0"/>
        <v/>
      </c>
      <c r="O34" s="142"/>
      <c r="P34" s="45">
        <f t="shared" si="14"/>
        <v>0</v>
      </c>
      <c r="Q34" s="98" t="str">
        <f t="shared" si="1"/>
        <v/>
      </c>
      <c r="R34" s="142"/>
      <c r="S34" s="45">
        <f t="shared" si="15"/>
        <v>0</v>
      </c>
      <c r="T34" s="98" t="str">
        <f t="shared" si="2"/>
        <v/>
      </c>
      <c r="U34" s="143"/>
      <c r="V34" s="45">
        <f t="shared" si="16"/>
        <v>0</v>
      </c>
      <c r="W34" s="98" t="str">
        <f t="shared" si="3"/>
        <v/>
      </c>
      <c r="X34" s="143"/>
      <c r="Y34" s="45">
        <f t="shared" si="17"/>
        <v>0</v>
      </c>
      <c r="Z34" s="98" t="str">
        <f t="shared" si="4"/>
        <v/>
      </c>
      <c r="AA34" s="143"/>
      <c r="AB34" s="45">
        <f t="shared" si="18"/>
        <v>0</v>
      </c>
      <c r="AC34" s="98" t="str">
        <f t="shared" si="5"/>
        <v/>
      </c>
      <c r="AD34" s="143"/>
      <c r="AE34" s="45">
        <f t="shared" si="19"/>
        <v>0</v>
      </c>
      <c r="AF34" s="98" t="str">
        <f t="shared" si="6"/>
        <v/>
      </c>
      <c r="AG34" s="143"/>
      <c r="AH34" s="45">
        <f t="shared" si="20"/>
        <v>0</v>
      </c>
      <c r="AI34" s="98" t="str">
        <f t="shared" si="7"/>
        <v/>
      </c>
      <c r="AJ34" s="143"/>
      <c r="AK34" s="45">
        <f t="shared" si="21"/>
        <v>0</v>
      </c>
      <c r="AL34" s="98" t="str">
        <f t="shared" si="8"/>
        <v/>
      </c>
      <c r="AM34" s="143"/>
      <c r="AN34" s="45">
        <f t="shared" si="22"/>
        <v>0</v>
      </c>
      <c r="AO34" s="549" t="str">
        <f t="shared" si="9"/>
        <v/>
      </c>
      <c r="AP34" s="99">
        <f t="shared" si="10"/>
        <v>0</v>
      </c>
      <c r="AQ34" s="551">
        <f t="shared" si="23"/>
        <v>0</v>
      </c>
      <c r="AR34" s="81">
        <f t="shared" si="24"/>
        <v>0</v>
      </c>
      <c r="AT34" s="129">
        <f t="shared" si="11"/>
        <v>0</v>
      </c>
    </row>
    <row r="35" spans="2:46" hidden="1" outlineLevel="2" x14ac:dyDescent="0.2">
      <c r="B35" s="438"/>
      <c r="C35" s="705" t="s">
        <v>69</v>
      </c>
      <c r="D35" s="706"/>
      <c r="E35" s="707"/>
      <c r="F35" s="66"/>
      <c r="G35" s="179" t="str">
        <f>_xlfn.XLOOKUP(C35,Lists!$N$3:$N$15,Lists!$O$3:$O$15,"")</f>
        <v/>
      </c>
      <c r="H35" s="51">
        <f t="shared" si="12"/>
        <v>1</v>
      </c>
      <c r="I35" s="137" t="str">
        <f>_xlfn.XLOOKUP(C35,'AU salary costs 2025'!$B$7:$B$35,'AU salary costs 2025'!$D$7:$D$35, "-")</f>
        <v>-</v>
      </c>
      <c r="J35" s="47">
        <v>37</v>
      </c>
      <c r="K35" s="578"/>
      <c r="L35" s="142"/>
      <c r="M35" s="45">
        <f t="shared" si="13"/>
        <v>0</v>
      </c>
      <c r="N35" s="98" t="str">
        <f t="shared" si="0"/>
        <v/>
      </c>
      <c r="O35" s="142"/>
      <c r="P35" s="45">
        <f t="shared" si="14"/>
        <v>0</v>
      </c>
      <c r="Q35" s="98" t="str">
        <f t="shared" si="1"/>
        <v/>
      </c>
      <c r="R35" s="142"/>
      <c r="S35" s="45">
        <f t="shared" si="15"/>
        <v>0</v>
      </c>
      <c r="T35" s="98" t="str">
        <f t="shared" si="2"/>
        <v/>
      </c>
      <c r="U35" s="143"/>
      <c r="V35" s="45">
        <f t="shared" si="16"/>
        <v>0</v>
      </c>
      <c r="W35" s="98" t="str">
        <f t="shared" si="3"/>
        <v/>
      </c>
      <c r="X35" s="143"/>
      <c r="Y35" s="45">
        <f t="shared" si="17"/>
        <v>0</v>
      </c>
      <c r="Z35" s="98" t="str">
        <f t="shared" si="4"/>
        <v/>
      </c>
      <c r="AA35" s="143"/>
      <c r="AB35" s="45">
        <f t="shared" si="18"/>
        <v>0</v>
      </c>
      <c r="AC35" s="98" t="str">
        <f t="shared" si="5"/>
        <v/>
      </c>
      <c r="AD35" s="143"/>
      <c r="AE35" s="45">
        <f t="shared" si="19"/>
        <v>0</v>
      </c>
      <c r="AF35" s="98" t="str">
        <f t="shared" si="6"/>
        <v/>
      </c>
      <c r="AG35" s="143"/>
      <c r="AH35" s="45">
        <f t="shared" si="20"/>
        <v>0</v>
      </c>
      <c r="AI35" s="98" t="str">
        <f t="shared" si="7"/>
        <v/>
      </c>
      <c r="AJ35" s="143"/>
      <c r="AK35" s="45">
        <f t="shared" si="21"/>
        <v>0</v>
      </c>
      <c r="AL35" s="98" t="str">
        <f t="shared" si="8"/>
        <v/>
      </c>
      <c r="AM35" s="143"/>
      <c r="AN35" s="45">
        <f t="shared" si="22"/>
        <v>0</v>
      </c>
      <c r="AO35" s="549" t="str">
        <f t="shared" si="9"/>
        <v/>
      </c>
      <c r="AP35" s="99">
        <f t="shared" si="10"/>
        <v>0</v>
      </c>
      <c r="AQ35" s="551">
        <f t="shared" si="23"/>
        <v>0</v>
      </c>
      <c r="AR35" s="81">
        <f t="shared" si="24"/>
        <v>0</v>
      </c>
      <c r="AT35" s="129">
        <f t="shared" si="11"/>
        <v>0</v>
      </c>
    </row>
    <row r="36" spans="2:46" ht="19" outlineLevel="1" collapsed="1" x14ac:dyDescent="0.25">
      <c r="B36" s="439" t="s">
        <v>70</v>
      </c>
      <c r="C36" s="760"/>
      <c r="D36" s="761"/>
      <c r="E36" s="761"/>
      <c r="F36" s="86"/>
      <c r="G36" s="87"/>
      <c r="H36" s="87"/>
      <c r="I36" s="88"/>
      <c r="J36" s="88"/>
      <c r="K36" s="89" t="s">
        <v>71</v>
      </c>
      <c r="L36" s="90">
        <f t="shared" ref="L36:AL36" si="25">SUM(L20:L35)</f>
        <v>18</v>
      </c>
      <c r="M36" s="90">
        <f>SUM(M20:M35)</f>
        <v>1.5</v>
      </c>
      <c r="N36" s="74">
        <f t="shared" si="25"/>
        <v>929348.39999999991</v>
      </c>
      <c r="O36" s="90">
        <f t="shared" si="25"/>
        <v>36</v>
      </c>
      <c r="P36" s="90">
        <f>SUM(P20:P35)</f>
        <v>3</v>
      </c>
      <c r="Q36" s="74">
        <f t="shared" si="25"/>
        <v>1914457.7040000001</v>
      </c>
      <c r="R36" s="90">
        <f t="shared" si="25"/>
        <v>48</v>
      </c>
      <c r="S36" s="90">
        <f>SUM(S20:S35)</f>
        <v>4</v>
      </c>
      <c r="T36" s="74">
        <f t="shared" si="25"/>
        <v>2606678.4039599998</v>
      </c>
      <c r="U36" s="90">
        <f t="shared" si="25"/>
        <v>42</v>
      </c>
      <c r="V36" s="90">
        <f>SUM(V20:V35)</f>
        <v>3.5</v>
      </c>
      <c r="W36" s="74">
        <f>SUM(W20:W35)</f>
        <v>2323185.2448971998</v>
      </c>
      <c r="X36" s="90">
        <f t="shared" si="25"/>
        <v>24</v>
      </c>
      <c r="Y36" s="90">
        <f>SUM(Y20:Y35)</f>
        <v>2</v>
      </c>
      <c r="Z36" s="74">
        <f t="shared" si="25"/>
        <v>1346890.9904847117</v>
      </c>
      <c r="AA36" s="90">
        <f t="shared" si="25"/>
        <v>12</v>
      </c>
      <c r="AB36" s="90">
        <f>SUM(AB20:AB35)</f>
        <v>1</v>
      </c>
      <c r="AC36" s="74">
        <f t="shared" si="25"/>
        <v>693648.86009962671</v>
      </c>
      <c r="AD36" s="90">
        <f t="shared" si="25"/>
        <v>0</v>
      </c>
      <c r="AE36" s="90">
        <f>SUM(AE20:AE35)</f>
        <v>0</v>
      </c>
      <c r="AF36" s="74">
        <f t="shared" si="25"/>
        <v>0</v>
      </c>
      <c r="AG36" s="90">
        <f t="shared" si="25"/>
        <v>0</v>
      </c>
      <c r="AH36" s="90">
        <f>SUM(AH20:AH35)</f>
        <v>0</v>
      </c>
      <c r="AI36" s="74">
        <f t="shared" si="25"/>
        <v>0</v>
      </c>
      <c r="AJ36" s="90">
        <f t="shared" si="25"/>
        <v>0</v>
      </c>
      <c r="AK36" s="90">
        <f>SUM(AK20:AK35)</f>
        <v>0</v>
      </c>
      <c r="AL36" s="74">
        <f t="shared" si="25"/>
        <v>0</v>
      </c>
      <c r="AM36" s="90">
        <f t="shared" ref="AM36:AR36" si="26">SUM(AM20:AM35)</f>
        <v>0</v>
      </c>
      <c r="AN36" s="80">
        <f t="shared" si="26"/>
        <v>0</v>
      </c>
      <c r="AO36" s="76">
        <f t="shared" si="26"/>
        <v>0</v>
      </c>
      <c r="AP36" s="79">
        <f t="shared" si="26"/>
        <v>180</v>
      </c>
      <c r="AQ36" s="90">
        <f t="shared" si="26"/>
        <v>15</v>
      </c>
      <c r="AR36" s="75">
        <f t="shared" si="26"/>
        <v>9814209.6034415383</v>
      </c>
      <c r="AT36" s="345">
        <f t="shared" si="11"/>
        <v>28860</v>
      </c>
    </row>
    <row r="37" spans="2:46" ht="16.5" customHeight="1" outlineLevel="1" x14ac:dyDescent="0.2">
      <c r="B37" s="438"/>
      <c r="C37" s="720" t="s">
        <v>72</v>
      </c>
      <c r="D37" s="721"/>
      <c r="E37" s="721"/>
      <c r="F37" s="219" t="str">
        <f>F19</f>
        <v>Notes/Name</v>
      </c>
      <c r="G37" s="220"/>
      <c r="H37" s="220"/>
      <c r="I37" s="221" t="str">
        <f>I19</f>
        <v>Salary/mo 2025</v>
      </c>
      <c r="J37" s="221" t="str">
        <f>J19</f>
        <v>Hrs/wk</v>
      </c>
      <c r="K37" s="219"/>
      <c r="L37" s="222"/>
      <c r="M37" s="222"/>
      <c r="N37" s="223"/>
      <c r="O37" s="222"/>
      <c r="P37" s="222"/>
      <c r="Q37" s="223"/>
      <c r="R37" s="222"/>
      <c r="S37" s="222"/>
      <c r="T37" s="223"/>
      <c r="U37" s="222"/>
      <c r="V37" s="222"/>
      <c r="W37" s="223"/>
      <c r="X37" s="222"/>
      <c r="Y37" s="222"/>
      <c r="Z37" s="223"/>
      <c r="AA37" s="222"/>
      <c r="AB37" s="222"/>
      <c r="AC37" s="223"/>
      <c r="AD37" s="222"/>
      <c r="AE37" s="222"/>
      <c r="AF37" s="223"/>
      <c r="AG37" s="222"/>
      <c r="AH37" s="222"/>
      <c r="AI37" s="223"/>
      <c r="AJ37" s="222"/>
      <c r="AK37" s="222"/>
      <c r="AL37" s="223"/>
      <c r="AM37" s="222"/>
      <c r="AN37" s="222"/>
      <c r="AO37" s="224"/>
      <c r="AP37" s="225"/>
      <c r="AQ37" s="226"/>
      <c r="AR37" s="208"/>
      <c r="AT37" s="346" t="s">
        <v>73</v>
      </c>
    </row>
    <row r="38" spans="2:46" outlineLevel="1" x14ac:dyDescent="0.2">
      <c r="B38" s="438"/>
      <c r="C38" s="730" t="s">
        <v>69</v>
      </c>
      <c r="D38" s="731"/>
      <c r="E38" s="732"/>
      <c r="F38" s="725"/>
      <c r="G38" s="726"/>
      <c r="H38" s="51">
        <f t="shared" ref="H38:H40" si="27">J38/37</f>
        <v>1</v>
      </c>
      <c r="I38" s="137" t="str">
        <f>_xlfn.XLOOKUP(C38,'AU salary costs 2025'!$B$7:$B$35,'AU salary costs 2025'!$D$7:$D$35, "-")</f>
        <v>-</v>
      </c>
      <c r="J38" s="47">
        <v>37</v>
      </c>
      <c r="K38" s="293"/>
      <c r="L38" s="143"/>
      <c r="M38" s="45">
        <f t="shared" ref="M38:M40" si="28">$H38*(L38/12)</f>
        <v>0</v>
      </c>
      <c r="N38" s="98" t="str">
        <f t="shared" ref="N38:N53" si="29">IFERROR($I38*$J38/37*(1+PLPartner1)^N$3*L38,"")</f>
        <v/>
      </c>
      <c r="O38" s="143"/>
      <c r="P38" s="45">
        <f t="shared" ref="P38:P40" si="30">$H38*(O38/12)</f>
        <v>0</v>
      </c>
      <c r="Q38" s="98" t="str">
        <f t="shared" ref="Q38:Q53" si="31">IFERROR($I38*$J38/37*(1+PLPartner1)^Q$3*O38,"")</f>
        <v/>
      </c>
      <c r="R38" s="143"/>
      <c r="S38" s="45">
        <f t="shared" ref="S38:S40" si="32">$H38*(R38/12)</f>
        <v>0</v>
      </c>
      <c r="T38" s="98" t="str">
        <f t="shared" ref="T38:T53" si="33">IFERROR($I38*$J38/37*(1+PLPartner1)^T$3*R38,"")</f>
        <v/>
      </c>
      <c r="U38" s="143"/>
      <c r="V38" s="45">
        <f t="shared" ref="V38:V40" si="34">$H38*(U38/12)</f>
        <v>0</v>
      </c>
      <c r="W38" s="98" t="str">
        <f t="shared" ref="W38:W53" si="35">IFERROR($I38*$J38/37*(1+PLPartner1)^W$3*U38,"")</f>
        <v/>
      </c>
      <c r="X38" s="143"/>
      <c r="Y38" s="45">
        <f t="shared" ref="Y38:Y40" si="36">$H38*(X38/12)</f>
        <v>0</v>
      </c>
      <c r="Z38" s="98" t="str">
        <f t="shared" ref="Z38:Z53" si="37">IFERROR($I38*$J38/37*(1+PLPartner1)^Z$3*X38,"")</f>
        <v/>
      </c>
      <c r="AA38" s="143"/>
      <c r="AB38" s="45">
        <f t="shared" ref="AB38:AB40" si="38">$H38*(AA38/12)</f>
        <v>0</v>
      </c>
      <c r="AC38" s="98" t="str">
        <f t="shared" ref="AC38:AC53" si="39">IFERROR($I38*$J38/37*(1+PLPartner1)^AC$3*AA38,"")</f>
        <v/>
      </c>
      <c r="AD38" s="143"/>
      <c r="AE38" s="45">
        <f t="shared" ref="AE38:AE40" si="40">$H38*(AD38/12)</f>
        <v>0</v>
      </c>
      <c r="AF38" s="98" t="str">
        <f t="shared" ref="AF38:AF53" si="41">IFERROR($I38*$J38/37*(1+PLPartner1)^AF$3*AD38,"")</f>
        <v/>
      </c>
      <c r="AG38" s="143"/>
      <c r="AH38" s="45">
        <f t="shared" ref="AH38:AH53" si="42">$H38*(AG38/12)</f>
        <v>0</v>
      </c>
      <c r="AI38" s="98" t="str">
        <f t="shared" ref="AI38:AI53" si="43">IFERROR($I38*$J38/37*(1+PLPartner1)^AI$3*AG38,"")</f>
        <v/>
      </c>
      <c r="AJ38" s="143"/>
      <c r="AK38" s="45">
        <f t="shared" ref="AK38:AK53" si="44">$H38*(AJ38/12)</f>
        <v>0</v>
      </c>
      <c r="AL38" s="98" t="str">
        <f t="shared" ref="AL38:AL53" si="45">IFERROR($I38*$J38/37*(1+PLPartner1)^AL$3*AJ38,"")</f>
        <v/>
      </c>
      <c r="AM38" s="143"/>
      <c r="AN38" s="45">
        <f t="shared" ref="AN38:AN40" si="46">$H38*(AM38/12)</f>
        <v>0</v>
      </c>
      <c r="AO38" s="549" t="str">
        <f t="shared" ref="AO38:AO53" si="47">IFERROR($I38*$J38/37*(1+PLPartner1)^AO$3*AM38,"")</f>
        <v/>
      </c>
      <c r="AP38" s="99">
        <f>SUM(L38,O38,R38,U38,X38,AA38,AD38,AG38,AJ38,AM38)</f>
        <v>0</v>
      </c>
      <c r="AQ38" s="551">
        <f>SUM(M38,P38,S38,V38,Y38,AB38,AE38,AH38,AK38,AN38)</f>
        <v>0</v>
      </c>
      <c r="AR38" s="81">
        <f t="shared" ref="AR38:AR40" si="48">SUM(N38,Q38,T38,W38,Z38,AC38,AF38,AI38,AL38,AO38)</f>
        <v>0</v>
      </c>
      <c r="AT38" s="129">
        <f t="shared" ref="AT38:AT54" si="49">AQ38*$AT$18</f>
        <v>0</v>
      </c>
    </row>
    <row r="39" spans="2:46" outlineLevel="1" x14ac:dyDescent="0.2">
      <c r="B39" s="438"/>
      <c r="C39" s="705" t="s">
        <v>69</v>
      </c>
      <c r="D39" s="706"/>
      <c r="E39" s="707"/>
      <c r="F39" s="708"/>
      <c r="G39" s="710"/>
      <c r="H39" s="51">
        <f t="shared" si="27"/>
        <v>1</v>
      </c>
      <c r="I39" s="137" t="str">
        <f>_xlfn.XLOOKUP(C39,'AU salary costs 2025'!$B$7:$B$35,'AU salary costs 2025'!$D$7:$D$35, "-")</f>
        <v>-</v>
      </c>
      <c r="J39" s="47">
        <v>37</v>
      </c>
      <c r="K39" s="293"/>
      <c r="L39" s="143"/>
      <c r="M39" s="45">
        <f t="shared" si="28"/>
        <v>0</v>
      </c>
      <c r="N39" s="98" t="str">
        <f t="shared" si="29"/>
        <v/>
      </c>
      <c r="O39" s="143"/>
      <c r="P39" s="45">
        <f t="shared" si="30"/>
        <v>0</v>
      </c>
      <c r="Q39" s="98" t="str">
        <f t="shared" si="31"/>
        <v/>
      </c>
      <c r="R39" s="143"/>
      <c r="S39" s="45">
        <f t="shared" si="32"/>
        <v>0</v>
      </c>
      <c r="T39" s="98" t="str">
        <f t="shared" si="33"/>
        <v/>
      </c>
      <c r="U39" s="143"/>
      <c r="V39" s="45">
        <f t="shared" si="34"/>
        <v>0</v>
      </c>
      <c r="W39" s="98" t="str">
        <f t="shared" si="35"/>
        <v/>
      </c>
      <c r="X39" s="143"/>
      <c r="Y39" s="45">
        <f t="shared" si="36"/>
        <v>0</v>
      </c>
      <c r="Z39" s="98" t="str">
        <f t="shared" si="37"/>
        <v/>
      </c>
      <c r="AA39" s="143"/>
      <c r="AB39" s="45">
        <f t="shared" si="38"/>
        <v>0</v>
      </c>
      <c r="AC39" s="98" t="str">
        <f t="shared" si="39"/>
        <v/>
      </c>
      <c r="AD39" s="143"/>
      <c r="AE39" s="45">
        <f t="shared" si="40"/>
        <v>0</v>
      </c>
      <c r="AF39" s="98" t="str">
        <f t="shared" si="41"/>
        <v/>
      </c>
      <c r="AG39" s="143"/>
      <c r="AH39" s="45">
        <f t="shared" si="42"/>
        <v>0</v>
      </c>
      <c r="AI39" s="98" t="str">
        <f t="shared" si="43"/>
        <v/>
      </c>
      <c r="AJ39" s="143"/>
      <c r="AK39" s="45">
        <f t="shared" si="44"/>
        <v>0</v>
      </c>
      <c r="AL39" s="98" t="str">
        <f t="shared" si="45"/>
        <v/>
      </c>
      <c r="AM39" s="143"/>
      <c r="AN39" s="45">
        <f t="shared" si="46"/>
        <v>0</v>
      </c>
      <c r="AO39" s="549" t="str">
        <f t="shared" si="47"/>
        <v/>
      </c>
      <c r="AP39" s="99">
        <f t="shared" ref="AP39:AP53" si="50">SUM(L39,O39,R39,U39,X39,AA39,AD39,AG39,AJ39,AM39)</f>
        <v>0</v>
      </c>
      <c r="AQ39" s="551">
        <f t="shared" ref="AQ39:AQ40" si="51">SUM(M39,P39,S39,V39,Y39,AB39,AE39,AH39,AK39,AN39)</f>
        <v>0</v>
      </c>
      <c r="AR39" s="81">
        <f t="shared" si="48"/>
        <v>0</v>
      </c>
      <c r="AT39" s="129">
        <f t="shared" si="49"/>
        <v>0</v>
      </c>
    </row>
    <row r="40" spans="2:46" outlineLevel="1" x14ac:dyDescent="0.2">
      <c r="B40" s="438"/>
      <c r="C40" s="705" t="s">
        <v>69</v>
      </c>
      <c r="D40" s="706"/>
      <c r="E40" s="707"/>
      <c r="F40" s="708"/>
      <c r="G40" s="710"/>
      <c r="H40" s="51">
        <f t="shared" si="27"/>
        <v>1</v>
      </c>
      <c r="I40" s="137" t="str">
        <f>_xlfn.XLOOKUP(C40,'AU salary costs 2025'!$B$7:$B$35,'AU salary costs 2025'!$D$7:$D$35, "-")</f>
        <v>-</v>
      </c>
      <c r="J40" s="47">
        <v>37</v>
      </c>
      <c r="K40" s="293"/>
      <c r="L40" s="143"/>
      <c r="M40" s="45">
        <f t="shared" si="28"/>
        <v>0</v>
      </c>
      <c r="N40" s="98" t="str">
        <f t="shared" si="29"/>
        <v/>
      </c>
      <c r="O40" s="143"/>
      <c r="P40" s="45">
        <f t="shared" si="30"/>
        <v>0</v>
      </c>
      <c r="Q40" s="98" t="str">
        <f t="shared" si="31"/>
        <v/>
      </c>
      <c r="R40" s="143"/>
      <c r="S40" s="45">
        <f t="shared" si="32"/>
        <v>0</v>
      </c>
      <c r="T40" s="98" t="str">
        <f t="shared" si="33"/>
        <v/>
      </c>
      <c r="U40" s="143"/>
      <c r="V40" s="45">
        <f t="shared" si="34"/>
        <v>0</v>
      </c>
      <c r="W40" s="98" t="str">
        <f t="shared" si="35"/>
        <v/>
      </c>
      <c r="X40" s="143"/>
      <c r="Y40" s="45">
        <f t="shared" si="36"/>
        <v>0</v>
      </c>
      <c r="Z40" s="98" t="str">
        <f t="shared" si="37"/>
        <v/>
      </c>
      <c r="AA40" s="143"/>
      <c r="AB40" s="45">
        <f t="shared" si="38"/>
        <v>0</v>
      </c>
      <c r="AC40" s="98" t="str">
        <f t="shared" si="39"/>
        <v/>
      </c>
      <c r="AD40" s="143"/>
      <c r="AE40" s="45">
        <f t="shared" si="40"/>
        <v>0</v>
      </c>
      <c r="AF40" s="98" t="str">
        <f t="shared" si="41"/>
        <v/>
      </c>
      <c r="AG40" s="143"/>
      <c r="AH40" s="45">
        <f t="shared" si="42"/>
        <v>0</v>
      </c>
      <c r="AI40" s="98" t="str">
        <f t="shared" si="43"/>
        <v/>
      </c>
      <c r="AJ40" s="143"/>
      <c r="AK40" s="45">
        <f t="shared" si="44"/>
        <v>0</v>
      </c>
      <c r="AL40" s="98" t="str">
        <f t="shared" si="45"/>
        <v/>
      </c>
      <c r="AM40" s="143"/>
      <c r="AN40" s="45">
        <f t="shared" si="46"/>
        <v>0</v>
      </c>
      <c r="AO40" s="549" t="str">
        <f t="shared" si="47"/>
        <v/>
      </c>
      <c r="AP40" s="99">
        <f t="shared" si="50"/>
        <v>0</v>
      </c>
      <c r="AQ40" s="551">
        <f t="shared" si="51"/>
        <v>0</v>
      </c>
      <c r="AR40" s="81">
        <f t="shared" si="48"/>
        <v>0</v>
      </c>
      <c r="AT40" s="129">
        <f t="shared" si="49"/>
        <v>0</v>
      </c>
    </row>
    <row r="41" spans="2:46" hidden="1" outlineLevel="2" x14ac:dyDescent="0.2">
      <c r="B41" s="438"/>
      <c r="C41" s="705" t="s">
        <v>69</v>
      </c>
      <c r="D41" s="706"/>
      <c r="E41" s="707"/>
      <c r="F41" s="708"/>
      <c r="G41" s="710"/>
      <c r="H41" s="51">
        <f t="shared" ref="H41:H53" si="52">J41/37</f>
        <v>1</v>
      </c>
      <c r="I41" s="137" t="str">
        <f>_xlfn.XLOOKUP(C41,'AU salary costs 2025'!$B$7:$B$35,'AU salary costs 2025'!$D$7:$D$35, "-")</f>
        <v>-</v>
      </c>
      <c r="J41" s="47">
        <v>37</v>
      </c>
      <c r="K41" s="293"/>
      <c r="L41" s="143"/>
      <c r="M41" s="45">
        <f t="shared" ref="M41:M53" si="53">$H41*(L41/12)</f>
        <v>0</v>
      </c>
      <c r="N41" s="98" t="str">
        <f t="shared" si="29"/>
        <v/>
      </c>
      <c r="O41" s="143"/>
      <c r="P41" s="45">
        <f t="shared" ref="P41:P53" si="54">$H41*(O41/12)</f>
        <v>0</v>
      </c>
      <c r="Q41" s="98" t="str">
        <f t="shared" si="31"/>
        <v/>
      </c>
      <c r="R41" s="143"/>
      <c r="S41" s="45">
        <f t="shared" ref="S41:S53" si="55">$H41*(R41/12)</f>
        <v>0</v>
      </c>
      <c r="T41" s="98" t="str">
        <f t="shared" si="33"/>
        <v/>
      </c>
      <c r="U41" s="143"/>
      <c r="V41" s="45">
        <f t="shared" ref="V41:V53" si="56">$H41*(U41/12)</f>
        <v>0</v>
      </c>
      <c r="W41" s="98" t="str">
        <f t="shared" si="35"/>
        <v/>
      </c>
      <c r="X41" s="143"/>
      <c r="Y41" s="45">
        <f t="shared" ref="Y41:Y53" si="57">$H41*(X41/12)</f>
        <v>0</v>
      </c>
      <c r="Z41" s="98" t="str">
        <f t="shared" si="37"/>
        <v/>
      </c>
      <c r="AA41" s="143"/>
      <c r="AB41" s="45">
        <f t="shared" ref="AB41:AB53" si="58">$H41*(AA41/12)</f>
        <v>0</v>
      </c>
      <c r="AC41" s="98" t="str">
        <f t="shared" si="39"/>
        <v/>
      </c>
      <c r="AD41" s="143"/>
      <c r="AE41" s="45">
        <f t="shared" ref="AE41:AE53" si="59">$H41*(AD41/12)</f>
        <v>0</v>
      </c>
      <c r="AF41" s="98" t="str">
        <f t="shared" si="41"/>
        <v/>
      </c>
      <c r="AG41" s="143"/>
      <c r="AH41" s="45">
        <f t="shared" si="42"/>
        <v>0</v>
      </c>
      <c r="AI41" s="98" t="str">
        <f t="shared" si="43"/>
        <v/>
      </c>
      <c r="AJ41" s="143"/>
      <c r="AK41" s="45">
        <f t="shared" si="44"/>
        <v>0</v>
      </c>
      <c r="AL41" s="98" t="str">
        <f t="shared" si="45"/>
        <v/>
      </c>
      <c r="AM41" s="143"/>
      <c r="AN41" s="45">
        <f t="shared" ref="AN41:AN53" si="60">$H41*(AM41/12)</f>
        <v>0</v>
      </c>
      <c r="AO41" s="549" t="str">
        <f t="shared" si="47"/>
        <v/>
      </c>
      <c r="AP41" s="99">
        <f t="shared" si="50"/>
        <v>0</v>
      </c>
      <c r="AQ41" s="551">
        <f t="shared" ref="AQ41:AQ53" si="61">SUM(M41,P41,S41,V41,Y41,AB41,AE41,AH41,AK41,AN41)</f>
        <v>0</v>
      </c>
      <c r="AR41" s="81">
        <f t="shared" ref="AR41:AR52" si="62">SUM(N41,Q41,T41,W41,Z41,AC41,AF41,AI41,AL41,AO41)</f>
        <v>0</v>
      </c>
      <c r="AT41" s="129">
        <f t="shared" si="49"/>
        <v>0</v>
      </c>
    </row>
    <row r="42" spans="2:46" hidden="1" outlineLevel="2" x14ac:dyDescent="0.2">
      <c r="B42" s="438"/>
      <c r="C42" s="705" t="s">
        <v>69</v>
      </c>
      <c r="D42" s="706"/>
      <c r="E42" s="707"/>
      <c r="F42" s="708"/>
      <c r="G42" s="710"/>
      <c r="H42" s="51">
        <f t="shared" si="52"/>
        <v>1</v>
      </c>
      <c r="I42" s="137" t="str">
        <f>_xlfn.XLOOKUP(C42,'AU salary costs 2025'!$B$7:$B$35,'AU salary costs 2025'!$D$7:$D$35, "-")</f>
        <v>-</v>
      </c>
      <c r="J42" s="47">
        <v>37</v>
      </c>
      <c r="K42" s="293"/>
      <c r="L42" s="143"/>
      <c r="M42" s="45">
        <f t="shared" si="53"/>
        <v>0</v>
      </c>
      <c r="N42" s="98" t="str">
        <f t="shared" si="29"/>
        <v/>
      </c>
      <c r="O42" s="143"/>
      <c r="P42" s="45">
        <f t="shared" si="54"/>
        <v>0</v>
      </c>
      <c r="Q42" s="98" t="str">
        <f t="shared" si="31"/>
        <v/>
      </c>
      <c r="R42" s="143"/>
      <c r="S42" s="45">
        <f t="shared" si="55"/>
        <v>0</v>
      </c>
      <c r="T42" s="98" t="str">
        <f t="shared" si="33"/>
        <v/>
      </c>
      <c r="U42" s="143"/>
      <c r="V42" s="45">
        <f t="shared" si="56"/>
        <v>0</v>
      </c>
      <c r="W42" s="98" t="str">
        <f t="shared" si="35"/>
        <v/>
      </c>
      <c r="X42" s="143"/>
      <c r="Y42" s="45">
        <f t="shared" si="57"/>
        <v>0</v>
      </c>
      <c r="Z42" s="98" t="str">
        <f t="shared" si="37"/>
        <v/>
      </c>
      <c r="AA42" s="143"/>
      <c r="AB42" s="45">
        <f t="shared" si="58"/>
        <v>0</v>
      </c>
      <c r="AC42" s="98" t="str">
        <f t="shared" si="39"/>
        <v/>
      </c>
      <c r="AD42" s="143"/>
      <c r="AE42" s="45">
        <f t="shared" si="59"/>
        <v>0</v>
      </c>
      <c r="AF42" s="98" t="str">
        <f t="shared" si="41"/>
        <v/>
      </c>
      <c r="AG42" s="143"/>
      <c r="AH42" s="45">
        <f t="shared" si="42"/>
        <v>0</v>
      </c>
      <c r="AI42" s="98" t="str">
        <f t="shared" si="43"/>
        <v/>
      </c>
      <c r="AJ42" s="143"/>
      <c r="AK42" s="45">
        <f t="shared" si="44"/>
        <v>0</v>
      </c>
      <c r="AL42" s="98" t="str">
        <f t="shared" si="45"/>
        <v/>
      </c>
      <c r="AM42" s="143"/>
      <c r="AN42" s="45">
        <f t="shared" si="60"/>
        <v>0</v>
      </c>
      <c r="AO42" s="549" t="str">
        <f t="shared" si="47"/>
        <v/>
      </c>
      <c r="AP42" s="99">
        <f t="shared" si="50"/>
        <v>0</v>
      </c>
      <c r="AQ42" s="551">
        <f t="shared" si="61"/>
        <v>0</v>
      </c>
      <c r="AR42" s="81">
        <f t="shared" si="62"/>
        <v>0</v>
      </c>
      <c r="AT42" s="129">
        <f t="shared" si="49"/>
        <v>0</v>
      </c>
    </row>
    <row r="43" spans="2:46" hidden="1" outlineLevel="2" x14ac:dyDescent="0.2">
      <c r="B43" s="438"/>
      <c r="C43" s="705" t="s">
        <v>69</v>
      </c>
      <c r="D43" s="706"/>
      <c r="E43" s="707"/>
      <c r="F43" s="708"/>
      <c r="G43" s="710"/>
      <c r="H43" s="51">
        <f t="shared" si="52"/>
        <v>1</v>
      </c>
      <c r="I43" s="137" t="str">
        <f>_xlfn.XLOOKUP(C43,'AU salary costs 2025'!$B$7:$B$35,'AU salary costs 2025'!$D$7:$D$35, "-")</f>
        <v>-</v>
      </c>
      <c r="J43" s="47">
        <v>37</v>
      </c>
      <c r="K43" s="293"/>
      <c r="L43" s="143"/>
      <c r="M43" s="45">
        <f t="shared" si="53"/>
        <v>0</v>
      </c>
      <c r="N43" s="98" t="str">
        <f t="shared" si="29"/>
        <v/>
      </c>
      <c r="O43" s="143"/>
      <c r="P43" s="45">
        <f t="shared" si="54"/>
        <v>0</v>
      </c>
      <c r="Q43" s="98" t="str">
        <f t="shared" si="31"/>
        <v/>
      </c>
      <c r="R43" s="143"/>
      <c r="S43" s="45">
        <f t="shared" si="55"/>
        <v>0</v>
      </c>
      <c r="T43" s="98" t="str">
        <f t="shared" si="33"/>
        <v/>
      </c>
      <c r="U43" s="143"/>
      <c r="V43" s="45">
        <f t="shared" si="56"/>
        <v>0</v>
      </c>
      <c r="W43" s="98" t="str">
        <f t="shared" si="35"/>
        <v/>
      </c>
      <c r="X43" s="143"/>
      <c r="Y43" s="45">
        <f t="shared" si="57"/>
        <v>0</v>
      </c>
      <c r="Z43" s="98" t="str">
        <f t="shared" si="37"/>
        <v/>
      </c>
      <c r="AA43" s="143"/>
      <c r="AB43" s="45">
        <f t="shared" si="58"/>
        <v>0</v>
      </c>
      <c r="AC43" s="98" t="str">
        <f t="shared" si="39"/>
        <v/>
      </c>
      <c r="AD43" s="143"/>
      <c r="AE43" s="45">
        <f t="shared" si="59"/>
        <v>0</v>
      </c>
      <c r="AF43" s="98" t="str">
        <f t="shared" si="41"/>
        <v/>
      </c>
      <c r="AG43" s="143"/>
      <c r="AH43" s="45">
        <f t="shared" si="42"/>
        <v>0</v>
      </c>
      <c r="AI43" s="98" t="str">
        <f t="shared" si="43"/>
        <v/>
      </c>
      <c r="AJ43" s="143"/>
      <c r="AK43" s="45">
        <f t="shared" si="44"/>
        <v>0</v>
      </c>
      <c r="AL43" s="98" t="str">
        <f t="shared" si="45"/>
        <v/>
      </c>
      <c r="AM43" s="143"/>
      <c r="AN43" s="45">
        <f t="shared" si="60"/>
        <v>0</v>
      </c>
      <c r="AO43" s="549" t="str">
        <f t="shared" si="47"/>
        <v/>
      </c>
      <c r="AP43" s="99">
        <f t="shared" si="50"/>
        <v>0</v>
      </c>
      <c r="AQ43" s="551">
        <f t="shared" si="61"/>
        <v>0</v>
      </c>
      <c r="AR43" s="81">
        <f t="shared" si="62"/>
        <v>0</v>
      </c>
      <c r="AT43" s="129">
        <f t="shared" si="49"/>
        <v>0</v>
      </c>
    </row>
    <row r="44" spans="2:46" hidden="1" outlineLevel="2" x14ac:dyDescent="0.2">
      <c r="B44" s="438"/>
      <c r="C44" s="705" t="s">
        <v>69</v>
      </c>
      <c r="D44" s="706"/>
      <c r="E44" s="707"/>
      <c r="F44" s="708"/>
      <c r="G44" s="710"/>
      <c r="H44" s="51">
        <f t="shared" si="52"/>
        <v>1</v>
      </c>
      <c r="I44" s="137" t="str">
        <f>_xlfn.XLOOKUP(C44,'AU salary costs 2025'!$B$7:$B$35,'AU salary costs 2025'!$D$7:$D$35, "-")</f>
        <v>-</v>
      </c>
      <c r="J44" s="47">
        <v>37</v>
      </c>
      <c r="K44" s="293"/>
      <c r="L44" s="143"/>
      <c r="M44" s="45">
        <f t="shared" si="53"/>
        <v>0</v>
      </c>
      <c r="N44" s="98" t="str">
        <f t="shared" si="29"/>
        <v/>
      </c>
      <c r="O44" s="143"/>
      <c r="P44" s="45">
        <f t="shared" si="54"/>
        <v>0</v>
      </c>
      <c r="Q44" s="98" t="str">
        <f t="shared" si="31"/>
        <v/>
      </c>
      <c r="R44" s="143"/>
      <c r="S44" s="45">
        <f t="shared" si="55"/>
        <v>0</v>
      </c>
      <c r="T44" s="98" t="str">
        <f t="shared" si="33"/>
        <v/>
      </c>
      <c r="U44" s="143"/>
      <c r="V44" s="45">
        <f t="shared" si="56"/>
        <v>0</v>
      </c>
      <c r="W44" s="98" t="str">
        <f t="shared" si="35"/>
        <v/>
      </c>
      <c r="X44" s="143"/>
      <c r="Y44" s="45">
        <f t="shared" si="57"/>
        <v>0</v>
      </c>
      <c r="Z44" s="98" t="str">
        <f t="shared" si="37"/>
        <v/>
      </c>
      <c r="AA44" s="143"/>
      <c r="AB44" s="45">
        <f t="shared" si="58"/>
        <v>0</v>
      </c>
      <c r="AC44" s="98" t="str">
        <f t="shared" si="39"/>
        <v/>
      </c>
      <c r="AD44" s="143"/>
      <c r="AE44" s="45">
        <f t="shared" si="59"/>
        <v>0</v>
      </c>
      <c r="AF44" s="98" t="str">
        <f t="shared" si="41"/>
        <v/>
      </c>
      <c r="AG44" s="143"/>
      <c r="AH44" s="45">
        <f t="shared" si="42"/>
        <v>0</v>
      </c>
      <c r="AI44" s="98" t="str">
        <f t="shared" si="43"/>
        <v/>
      </c>
      <c r="AJ44" s="143"/>
      <c r="AK44" s="45">
        <f t="shared" si="44"/>
        <v>0</v>
      </c>
      <c r="AL44" s="98" t="str">
        <f t="shared" si="45"/>
        <v/>
      </c>
      <c r="AM44" s="143"/>
      <c r="AN44" s="45">
        <f t="shared" si="60"/>
        <v>0</v>
      </c>
      <c r="AO44" s="549" t="str">
        <f t="shared" si="47"/>
        <v/>
      </c>
      <c r="AP44" s="99">
        <f t="shared" si="50"/>
        <v>0</v>
      </c>
      <c r="AQ44" s="551">
        <f t="shared" si="61"/>
        <v>0</v>
      </c>
      <c r="AR44" s="81">
        <f t="shared" si="62"/>
        <v>0</v>
      </c>
      <c r="AT44" s="129">
        <f t="shared" si="49"/>
        <v>0</v>
      </c>
    </row>
    <row r="45" spans="2:46" hidden="1" outlineLevel="2" x14ac:dyDescent="0.2">
      <c r="B45" s="438"/>
      <c r="C45" s="705" t="s">
        <v>69</v>
      </c>
      <c r="D45" s="706"/>
      <c r="E45" s="707"/>
      <c r="F45" s="708"/>
      <c r="G45" s="710"/>
      <c r="H45" s="51">
        <f t="shared" si="52"/>
        <v>1</v>
      </c>
      <c r="I45" s="137" t="str">
        <f>_xlfn.XLOOKUP(C45,'AU salary costs 2025'!$B$7:$B$35,'AU salary costs 2025'!$D$7:$D$35, "-")</f>
        <v>-</v>
      </c>
      <c r="J45" s="47">
        <v>37</v>
      </c>
      <c r="K45" s="293"/>
      <c r="L45" s="143"/>
      <c r="M45" s="45">
        <f t="shared" si="53"/>
        <v>0</v>
      </c>
      <c r="N45" s="98" t="str">
        <f t="shared" si="29"/>
        <v/>
      </c>
      <c r="O45" s="143"/>
      <c r="P45" s="45">
        <f t="shared" si="54"/>
        <v>0</v>
      </c>
      <c r="Q45" s="98" t="str">
        <f t="shared" si="31"/>
        <v/>
      </c>
      <c r="R45" s="143"/>
      <c r="S45" s="45">
        <f t="shared" si="55"/>
        <v>0</v>
      </c>
      <c r="T45" s="98" t="str">
        <f t="shared" si="33"/>
        <v/>
      </c>
      <c r="U45" s="143"/>
      <c r="V45" s="45">
        <f t="shared" si="56"/>
        <v>0</v>
      </c>
      <c r="W45" s="98" t="str">
        <f t="shared" si="35"/>
        <v/>
      </c>
      <c r="X45" s="143"/>
      <c r="Y45" s="45">
        <f t="shared" si="57"/>
        <v>0</v>
      </c>
      <c r="Z45" s="98" t="str">
        <f t="shared" si="37"/>
        <v/>
      </c>
      <c r="AA45" s="143"/>
      <c r="AB45" s="45">
        <f t="shared" si="58"/>
        <v>0</v>
      </c>
      <c r="AC45" s="98" t="str">
        <f t="shared" si="39"/>
        <v/>
      </c>
      <c r="AD45" s="143"/>
      <c r="AE45" s="45">
        <f t="shared" si="59"/>
        <v>0</v>
      </c>
      <c r="AF45" s="98" t="str">
        <f t="shared" si="41"/>
        <v/>
      </c>
      <c r="AG45" s="143"/>
      <c r="AH45" s="45">
        <f t="shared" si="42"/>
        <v>0</v>
      </c>
      <c r="AI45" s="98" t="str">
        <f t="shared" si="43"/>
        <v/>
      </c>
      <c r="AJ45" s="143"/>
      <c r="AK45" s="45">
        <f t="shared" si="44"/>
        <v>0</v>
      </c>
      <c r="AL45" s="98" t="str">
        <f t="shared" si="45"/>
        <v/>
      </c>
      <c r="AM45" s="143"/>
      <c r="AN45" s="45">
        <f t="shared" si="60"/>
        <v>0</v>
      </c>
      <c r="AO45" s="549" t="str">
        <f t="shared" si="47"/>
        <v/>
      </c>
      <c r="AP45" s="99">
        <f t="shared" si="50"/>
        <v>0</v>
      </c>
      <c r="AQ45" s="551">
        <f t="shared" si="61"/>
        <v>0</v>
      </c>
      <c r="AR45" s="81">
        <f t="shared" si="62"/>
        <v>0</v>
      </c>
      <c r="AT45" s="129">
        <f t="shared" si="49"/>
        <v>0</v>
      </c>
    </row>
    <row r="46" spans="2:46" hidden="1" outlineLevel="2" x14ac:dyDescent="0.2">
      <c r="B46" s="438"/>
      <c r="C46" s="705" t="s">
        <v>69</v>
      </c>
      <c r="D46" s="706"/>
      <c r="E46" s="707"/>
      <c r="F46" s="708"/>
      <c r="G46" s="710"/>
      <c r="H46" s="51">
        <f t="shared" si="52"/>
        <v>1</v>
      </c>
      <c r="I46" s="137" t="str">
        <f>_xlfn.XLOOKUP(C46,'AU salary costs 2025'!$B$7:$B$35,'AU salary costs 2025'!$D$7:$D$35, "-")</f>
        <v>-</v>
      </c>
      <c r="J46" s="47">
        <v>37</v>
      </c>
      <c r="K46" s="293"/>
      <c r="L46" s="143"/>
      <c r="M46" s="45">
        <f t="shared" si="53"/>
        <v>0</v>
      </c>
      <c r="N46" s="98" t="str">
        <f t="shared" si="29"/>
        <v/>
      </c>
      <c r="O46" s="143"/>
      <c r="P46" s="45">
        <f t="shared" si="54"/>
        <v>0</v>
      </c>
      <c r="Q46" s="98" t="str">
        <f t="shared" si="31"/>
        <v/>
      </c>
      <c r="R46" s="143"/>
      <c r="S46" s="45">
        <f t="shared" si="55"/>
        <v>0</v>
      </c>
      <c r="T46" s="98" t="str">
        <f t="shared" si="33"/>
        <v/>
      </c>
      <c r="U46" s="143"/>
      <c r="V46" s="45">
        <f t="shared" si="56"/>
        <v>0</v>
      </c>
      <c r="W46" s="98" t="str">
        <f t="shared" si="35"/>
        <v/>
      </c>
      <c r="X46" s="143"/>
      <c r="Y46" s="45">
        <f t="shared" si="57"/>
        <v>0</v>
      </c>
      <c r="Z46" s="98" t="str">
        <f t="shared" si="37"/>
        <v/>
      </c>
      <c r="AA46" s="143"/>
      <c r="AB46" s="45">
        <f t="shared" si="58"/>
        <v>0</v>
      </c>
      <c r="AC46" s="98" t="str">
        <f t="shared" si="39"/>
        <v/>
      </c>
      <c r="AD46" s="143"/>
      <c r="AE46" s="45">
        <f t="shared" si="59"/>
        <v>0</v>
      </c>
      <c r="AF46" s="98" t="str">
        <f t="shared" si="41"/>
        <v/>
      </c>
      <c r="AG46" s="143"/>
      <c r="AH46" s="45">
        <f t="shared" si="42"/>
        <v>0</v>
      </c>
      <c r="AI46" s="98" t="str">
        <f t="shared" si="43"/>
        <v/>
      </c>
      <c r="AJ46" s="143"/>
      <c r="AK46" s="45">
        <f t="shared" si="44"/>
        <v>0</v>
      </c>
      <c r="AL46" s="98" t="str">
        <f t="shared" si="45"/>
        <v/>
      </c>
      <c r="AM46" s="143"/>
      <c r="AN46" s="45">
        <f t="shared" si="60"/>
        <v>0</v>
      </c>
      <c r="AO46" s="549" t="str">
        <f t="shared" si="47"/>
        <v/>
      </c>
      <c r="AP46" s="99">
        <f t="shared" si="50"/>
        <v>0</v>
      </c>
      <c r="AQ46" s="551">
        <f t="shared" si="61"/>
        <v>0</v>
      </c>
      <c r="AR46" s="81">
        <f t="shared" si="62"/>
        <v>0</v>
      </c>
      <c r="AT46" s="129">
        <f t="shared" si="49"/>
        <v>0</v>
      </c>
    </row>
    <row r="47" spans="2:46" hidden="1" outlineLevel="2" x14ac:dyDescent="0.2">
      <c r="B47" s="438"/>
      <c r="C47" s="705" t="s">
        <v>69</v>
      </c>
      <c r="D47" s="706"/>
      <c r="E47" s="707"/>
      <c r="F47" s="708"/>
      <c r="G47" s="710"/>
      <c r="H47" s="51">
        <f t="shared" si="52"/>
        <v>1</v>
      </c>
      <c r="I47" s="137" t="str">
        <f>_xlfn.XLOOKUP(C47,'AU salary costs 2025'!$B$7:$B$35,'AU salary costs 2025'!$D$7:$D$35, "-")</f>
        <v>-</v>
      </c>
      <c r="J47" s="47">
        <v>37</v>
      </c>
      <c r="K47" s="293"/>
      <c r="L47" s="143"/>
      <c r="M47" s="45">
        <f t="shared" si="53"/>
        <v>0</v>
      </c>
      <c r="N47" s="98" t="str">
        <f t="shared" si="29"/>
        <v/>
      </c>
      <c r="O47" s="143"/>
      <c r="P47" s="45">
        <f t="shared" si="54"/>
        <v>0</v>
      </c>
      <c r="Q47" s="98" t="str">
        <f t="shared" si="31"/>
        <v/>
      </c>
      <c r="R47" s="143"/>
      <c r="S47" s="45">
        <f t="shared" si="55"/>
        <v>0</v>
      </c>
      <c r="T47" s="98" t="str">
        <f t="shared" si="33"/>
        <v/>
      </c>
      <c r="U47" s="143"/>
      <c r="V47" s="45">
        <f t="shared" si="56"/>
        <v>0</v>
      </c>
      <c r="W47" s="98" t="str">
        <f t="shared" si="35"/>
        <v/>
      </c>
      <c r="X47" s="143"/>
      <c r="Y47" s="45">
        <f t="shared" si="57"/>
        <v>0</v>
      </c>
      <c r="Z47" s="98" t="str">
        <f t="shared" si="37"/>
        <v/>
      </c>
      <c r="AA47" s="143"/>
      <c r="AB47" s="45">
        <f t="shared" si="58"/>
        <v>0</v>
      </c>
      <c r="AC47" s="98" t="str">
        <f t="shared" si="39"/>
        <v/>
      </c>
      <c r="AD47" s="143"/>
      <c r="AE47" s="45">
        <f t="shared" si="59"/>
        <v>0</v>
      </c>
      <c r="AF47" s="98" t="str">
        <f t="shared" si="41"/>
        <v/>
      </c>
      <c r="AG47" s="143"/>
      <c r="AH47" s="45">
        <f t="shared" si="42"/>
        <v>0</v>
      </c>
      <c r="AI47" s="98" t="str">
        <f t="shared" si="43"/>
        <v/>
      </c>
      <c r="AJ47" s="143"/>
      <c r="AK47" s="45">
        <f t="shared" si="44"/>
        <v>0</v>
      </c>
      <c r="AL47" s="98" t="str">
        <f t="shared" si="45"/>
        <v/>
      </c>
      <c r="AM47" s="143"/>
      <c r="AN47" s="45">
        <f t="shared" si="60"/>
        <v>0</v>
      </c>
      <c r="AO47" s="549" t="str">
        <f t="shared" si="47"/>
        <v/>
      </c>
      <c r="AP47" s="99">
        <f t="shared" si="50"/>
        <v>0</v>
      </c>
      <c r="AQ47" s="551">
        <f t="shared" si="61"/>
        <v>0</v>
      </c>
      <c r="AR47" s="81">
        <f t="shared" si="62"/>
        <v>0</v>
      </c>
      <c r="AT47" s="129">
        <f t="shared" si="49"/>
        <v>0</v>
      </c>
    </row>
    <row r="48" spans="2:46" hidden="1" outlineLevel="2" x14ac:dyDescent="0.2">
      <c r="B48" s="438"/>
      <c r="C48" s="705" t="s">
        <v>69</v>
      </c>
      <c r="D48" s="706"/>
      <c r="E48" s="707"/>
      <c r="F48" s="708"/>
      <c r="G48" s="710"/>
      <c r="H48" s="51">
        <f t="shared" si="52"/>
        <v>1</v>
      </c>
      <c r="I48" s="137" t="str">
        <f>_xlfn.XLOOKUP(C48,'AU salary costs 2025'!$B$7:$B$35,'AU salary costs 2025'!$D$7:$D$35, "-")</f>
        <v>-</v>
      </c>
      <c r="J48" s="47">
        <v>37</v>
      </c>
      <c r="K48" s="293"/>
      <c r="L48" s="143"/>
      <c r="M48" s="45">
        <f t="shared" si="53"/>
        <v>0</v>
      </c>
      <c r="N48" s="98" t="str">
        <f t="shared" si="29"/>
        <v/>
      </c>
      <c r="O48" s="143"/>
      <c r="P48" s="45">
        <f t="shared" si="54"/>
        <v>0</v>
      </c>
      <c r="Q48" s="98" t="str">
        <f t="shared" si="31"/>
        <v/>
      </c>
      <c r="R48" s="143"/>
      <c r="S48" s="45">
        <f t="shared" si="55"/>
        <v>0</v>
      </c>
      <c r="T48" s="98" t="str">
        <f t="shared" si="33"/>
        <v/>
      </c>
      <c r="U48" s="143"/>
      <c r="V48" s="45">
        <f t="shared" si="56"/>
        <v>0</v>
      </c>
      <c r="W48" s="98" t="str">
        <f t="shared" si="35"/>
        <v/>
      </c>
      <c r="X48" s="143"/>
      <c r="Y48" s="45">
        <f t="shared" si="57"/>
        <v>0</v>
      </c>
      <c r="Z48" s="98" t="str">
        <f t="shared" si="37"/>
        <v/>
      </c>
      <c r="AA48" s="143"/>
      <c r="AB48" s="45">
        <f t="shared" si="58"/>
        <v>0</v>
      </c>
      <c r="AC48" s="98" t="str">
        <f t="shared" si="39"/>
        <v/>
      </c>
      <c r="AD48" s="143"/>
      <c r="AE48" s="45">
        <f t="shared" si="59"/>
        <v>0</v>
      </c>
      <c r="AF48" s="98" t="str">
        <f t="shared" si="41"/>
        <v/>
      </c>
      <c r="AG48" s="143"/>
      <c r="AH48" s="45">
        <f t="shared" si="42"/>
        <v>0</v>
      </c>
      <c r="AI48" s="98" t="str">
        <f t="shared" si="43"/>
        <v/>
      </c>
      <c r="AJ48" s="143"/>
      <c r="AK48" s="45">
        <f t="shared" si="44"/>
        <v>0</v>
      </c>
      <c r="AL48" s="98" t="str">
        <f t="shared" si="45"/>
        <v/>
      </c>
      <c r="AM48" s="143"/>
      <c r="AN48" s="45">
        <f t="shared" si="60"/>
        <v>0</v>
      </c>
      <c r="AO48" s="549" t="str">
        <f t="shared" si="47"/>
        <v/>
      </c>
      <c r="AP48" s="99">
        <f t="shared" si="50"/>
        <v>0</v>
      </c>
      <c r="AQ48" s="551">
        <f t="shared" si="61"/>
        <v>0</v>
      </c>
      <c r="AR48" s="81">
        <f t="shared" si="62"/>
        <v>0</v>
      </c>
      <c r="AT48" s="129">
        <f t="shared" si="49"/>
        <v>0</v>
      </c>
    </row>
    <row r="49" spans="2:46" hidden="1" outlineLevel="2" x14ac:dyDescent="0.2">
      <c r="B49" s="438"/>
      <c r="C49" s="705" t="s">
        <v>69</v>
      </c>
      <c r="D49" s="706"/>
      <c r="E49" s="707"/>
      <c r="F49" s="708"/>
      <c r="G49" s="710"/>
      <c r="H49" s="51">
        <f t="shared" si="52"/>
        <v>1</v>
      </c>
      <c r="I49" s="137" t="str">
        <f>_xlfn.XLOOKUP(C49,'AU salary costs 2025'!$B$7:$B$35,'AU salary costs 2025'!$D$7:$D$35, "-")</f>
        <v>-</v>
      </c>
      <c r="J49" s="47">
        <v>37</v>
      </c>
      <c r="K49" s="293"/>
      <c r="L49" s="143"/>
      <c r="M49" s="45">
        <f t="shared" si="53"/>
        <v>0</v>
      </c>
      <c r="N49" s="98" t="str">
        <f t="shared" si="29"/>
        <v/>
      </c>
      <c r="O49" s="143"/>
      <c r="P49" s="45">
        <f t="shared" si="54"/>
        <v>0</v>
      </c>
      <c r="Q49" s="98" t="str">
        <f t="shared" si="31"/>
        <v/>
      </c>
      <c r="R49" s="143"/>
      <c r="S49" s="45">
        <f t="shared" si="55"/>
        <v>0</v>
      </c>
      <c r="T49" s="98" t="str">
        <f t="shared" si="33"/>
        <v/>
      </c>
      <c r="U49" s="143"/>
      <c r="V49" s="45">
        <f t="shared" si="56"/>
        <v>0</v>
      </c>
      <c r="W49" s="98" t="str">
        <f t="shared" si="35"/>
        <v/>
      </c>
      <c r="X49" s="143"/>
      <c r="Y49" s="45">
        <f t="shared" si="57"/>
        <v>0</v>
      </c>
      <c r="Z49" s="98" t="str">
        <f t="shared" si="37"/>
        <v/>
      </c>
      <c r="AA49" s="143"/>
      <c r="AB49" s="45">
        <f t="shared" si="58"/>
        <v>0</v>
      </c>
      <c r="AC49" s="98" t="str">
        <f t="shared" si="39"/>
        <v/>
      </c>
      <c r="AD49" s="143"/>
      <c r="AE49" s="45">
        <f t="shared" si="59"/>
        <v>0</v>
      </c>
      <c r="AF49" s="98" t="str">
        <f t="shared" si="41"/>
        <v/>
      </c>
      <c r="AG49" s="143"/>
      <c r="AH49" s="45">
        <f t="shared" si="42"/>
        <v>0</v>
      </c>
      <c r="AI49" s="98" t="str">
        <f t="shared" si="43"/>
        <v/>
      </c>
      <c r="AJ49" s="143"/>
      <c r="AK49" s="45">
        <f t="shared" si="44"/>
        <v>0</v>
      </c>
      <c r="AL49" s="98" t="str">
        <f t="shared" si="45"/>
        <v/>
      </c>
      <c r="AM49" s="143"/>
      <c r="AN49" s="45">
        <f t="shared" si="60"/>
        <v>0</v>
      </c>
      <c r="AO49" s="549" t="str">
        <f t="shared" si="47"/>
        <v/>
      </c>
      <c r="AP49" s="99">
        <f t="shared" si="50"/>
        <v>0</v>
      </c>
      <c r="AQ49" s="551">
        <f t="shared" si="61"/>
        <v>0</v>
      </c>
      <c r="AR49" s="81">
        <f t="shared" si="62"/>
        <v>0</v>
      </c>
      <c r="AT49" s="129">
        <f t="shared" si="49"/>
        <v>0</v>
      </c>
    </row>
    <row r="50" spans="2:46" hidden="1" outlineLevel="2" x14ac:dyDescent="0.2">
      <c r="B50" s="438"/>
      <c r="C50" s="705" t="s">
        <v>69</v>
      </c>
      <c r="D50" s="706"/>
      <c r="E50" s="707"/>
      <c r="F50" s="708"/>
      <c r="G50" s="710"/>
      <c r="H50" s="51">
        <f t="shared" si="52"/>
        <v>1</v>
      </c>
      <c r="I50" s="137" t="str">
        <f>_xlfn.XLOOKUP(C50,'AU salary costs 2025'!$B$7:$B$35,'AU salary costs 2025'!$D$7:$D$35, "-")</f>
        <v>-</v>
      </c>
      <c r="J50" s="47">
        <v>37</v>
      </c>
      <c r="K50" s="293"/>
      <c r="L50" s="143"/>
      <c r="M50" s="45">
        <f t="shared" si="53"/>
        <v>0</v>
      </c>
      <c r="N50" s="98" t="str">
        <f t="shared" si="29"/>
        <v/>
      </c>
      <c r="O50" s="143"/>
      <c r="P50" s="45">
        <f t="shared" si="54"/>
        <v>0</v>
      </c>
      <c r="Q50" s="98" t="str">
        <f t="shared" si="31"/>
        <v/>
      </c>
      <c r="R50" s="143"/>
      <c r="S50" s="45">
        <f t="shared" si="55"/>
        <v>0</v>
      </c>
      <c r="T50" s="98" t="str">
        <f t="shared" si="33"/>
        <v/>
      </c>
      <c r="U50" s="143"/>
      <c r="V50" s="45">
        <f t="shared" si="56"/>
        <v>0</v>
      </c>
      <c r="W50" s="98" t="str">
        <f t="shared" si="35"/>
        <v/>
      </c>
      <c r="X50" s="143"/>
      <c r="Y50" s="45">
        <f t="shared" si="57"/>
        <v>0</v>
      </c>
      <c r="Z50" s="98" t="str">
        <f t="shared" si="37"/>
        <v/>
      </c>
      <c r="AA50" s="143"/>
      <c r="AB50" s="45">
        <f t="shared" si="58"/>
        <v>0</v>
      </c>
      <c r="AC50" s="98" t="str">
        <f t="shared" si="39"/>
        <v/>
      </c>
      <c r="AD50" s="143"/>
      <c r="AE50" s="45">
        <f t="shared" si="59"/>
        <v>0</v>
      </c>
      <c r="AF50" s="98" t="str">
        <f t="shared" si="41"/>
        <v/>
      </c>
      <c r="AG50" s="143"/>
      <c r="AH50" s="45">
        <f t="shared" si="42"/>
        <v>0</v>
      </c>
      <c r="AI50" s="98" t="str">
        <f t="shared" si="43"/>
        <v/>
      </c>
      <c r="AJ50" s="143"/>
      <c r="AK50" s="45">
        <f t="shared" si="44"/>
        <v>0</v>
      </c>
      <c r="AL50" s="98" t="str">
        <f t="shared" si="45"/>
        <v/>
      </c>
      <c r="AM50" s="143"/>
      <c r="AN50" s="45">
        <f t="shared" si="60"/>
        <v>0</v>
      </c>
      <c r="AO50" s="549" t="str">
        <f t="shared" si="47"/>
        <v/>
      </c>
      <c r="AP50" s="99">
        <f t="shared" si="50"/>
        <v>0</v>
      </c>
      <c r="AQ50" s="551">
        <f t="shared" si="61"/>
        <v>0</v>
      </c>
      <c r="AR50" s="81">
        <f t="shared" si="62"/>
        <v>0</v>
      </c>
      <c r="AT50" s="129">
        <f t="shared" si="49"/>
        <v>0</v>
      </c>
    </row>
    <row r="51" spans="2:46" hidden="1" outlineLevel="2" x14ac:dyDescent="0.2">
      <c r="B51" s="438"/>
      <c r="C51" s="705" t="s">
        <v>69</v>
      </c>
      <c r="D51" s="706"/>
      <c r="E51" s="707"/>
      <c r="F51" s="708"/>
      <c r="G51" s="710"/>
      <c r="H51" s="51">
        <f t="shared" si="52"/>
        <v>1</v>
      </c>
      <c r="I51" s="137" t="str">
        <f>_xlfn.XLOOKUP(C51,'AU salary costs 2025'!$B$7:$B$35,'AU salary costs 2025'!$D$7:$D$35, "-")</f>
        <v>-</v>
      </c>
      <c r="J51" s="47">
        <v>37</v>
      </c>
      <c r="K51" s="293"/>
      <c r="L51" s="143"/>
      <c r="M51" s="45">
        <f t="shared" si="53"/>
        <v>0</v>
      </c>
      <c r="N51" s="98" t="str">
        <f t="shared" si="29"/>
        <v/>
      </c>
      <c r="O51" s="143"/>
      <c r="P51" s="45">
        <f t="shared" si="54"/>
        <v>0</v>
      </c>
      <c r="Q51" s="98" t="str">
        <f t="shared" si="31"/>
        <v/>
      </c>
      <c r="R51" s="143"/>
      <c r="S51" s="45">
        <f t="shared" si="55"/>
        <v>0</v>
      </c>
      <c r="T51" s="98" t="str">
        <f t="shared" si="33"/>
        <v/>
      </c>
      <c r="U51" s="143"/>
      <c r="V51" s="45">
        <f t="shared" si="56"/>
        <v>0</v>
      </c>
      <c r="W51" s="98" t="str">
        <f t="shared" si="35"/>
        <v/>
      </c>
      <c r="X51" s="143"/>
      <c r="Y51" s="45">
        <f t="shared" si="57"/>
        <v>0</v>
      </c>
      <c r="Z51" s="98" t="str">
        <f t="shared" si="37"/>
        <v/>
      </c>
      <c r="AA51" s="143"/>
      <c r="AB51" s="45">
        <f t="shared" si="58"/>
        <v>0</v>
      </c>
      <c r="AC51" s="98" t="str">
        <f t="shared" si="39"/>
        <v/>
      </c>
      <c r="AD51" s="143"/>
      <c r="AE51" s="45">
        <f t="shared" si="59"/>
        <v>0</v>
      </c>
      <c r="AF51" s="98" t="str">
        <f t="shared" si="41"/>
        <v/>
      </c>
      <c r="AG51" s="143"/>
      <c r="AH51" s="45">
        <f t="shared" si="42"/>
        <v>0</v>
      </c>
      <c r="AI51" s="98" t="str">
        <f t="shared" si="43"/>
        <v/>
      </c>
      <c r="AJ51" s="143"/>
      <c r="AK51" s="45">
        <f t="shared" si="44"/>
        <v>0</v>
      </c>
      <c r="AL51" s="98" t="str">
        <f t="shared" si="45"/>
        <v/>
      </c>
      <c r="AM51" s="143"/>
      <c r="AN51" s="45">
        <f t="shared" si="60"/>
        <v>0</v>
      </c>
      <c r="AO51" s="549" t="str">
        <f t="shared" si="47"/>
        <v/>
      </c>
      <c r="AP51" s="99">
        <f t="shared" si="50"/>
        <v>0</v>
      </c>
      <c r="AQ51" s="551">
        <f t="shared" si="61"/>
        <v>0</v>
      </c>
      <c r="AR51" s="81">
        <f t="shared" si="62"/>
        <v>0</v>
      </c>
      <c r="AT51" s="129">
        <f t="shared" si="49"/>
        <v>0</v>
      </c>
    </row>
    <row r="52" spans="2:46" hidden="1" outlineLevel="2" x14ac:dyDescent="0.2">
      <c r="B52" s="438"/>
      <c r="C52" s="705" t="s">
        <v>69</v>
      </c>
      <c r="D52" s="706"/>
      <c r="E52" s="707"/>
      <c r="F52" s="708"/>
      <c r="G52" s="710"/>
      <c r="H52" s="51">
        <f t="shared" si="52"/>
        <v>1</v>
      </c>
      <c r="I52" s="137" t="str">
        <f>_xlfn.XLOOKUP(C52,'AU salary costs 2025'!$B$7:$B$35,'AU salary costs 2025'!$D$7:$D$35, "-")</f>
        <v>-</v>
      </c>
      <c r="J52" s="47">
        <v>37</v>
      </c>
      <c r="K52" s="293"/>
      <c r="L52" s="143"/>
      <c r="M52" s="45">
        <f t="shared" si="53"/>
        <v>0</v>
      </c>
      <c r="N52" s="98" t="str">
        <f t="shared" si="29"/>
        <v/>
      </c>
      <c r="O52" s="143"/>
      <c r="P52" s="45">
        <f t="shared" si="54"/>
        <v>0</v>
      </c>
      <c r="Q52" s="98" t="str">
        <f t="shared" si="31"/>
        <v/>
      </c>
      <c r="R52" s="143"/>
      <c r="S52" s="45">
        <f t="shared" si="55"/>
        <v>0</v>
      </c>
      <c r="T52" s="98" t="str">
        <f t="shared" si="33"/>
        <v/>
      </c>
      <c r="U52" s="143"/>
      <c r="V52" s="45">
        <f t="shared" si="56"/>
        <v>0</v>
      </c>
      <c r="W52" s="98" t="str">
        <f t="shared" si="35"/>
        <v/>
      </c>
      <c r="X52" s="143"/>
      <c r="Y52" s="45">
        <f t="shared" si="57"/>
        <v>0</v>
      </c>
      <c r="Z52" s="98" t="str">
        <f t="shared" si="37"/>
        <v/>
      </c>
      <c r="AA52" s="143"/>
      <c r="AB52" s="45">
        <f t="shared" si="58"/>
        <v>0</v>
      </c>
      <c r="AC52" s="98" t="str">
        <f t="shared" si="39"/>
        <v/>
      </c>
      <c r="AD52" s="143"/>
      <c r="AE52" s="45">
        <f t="shared" si="59"/>
        <v>0</v>
      </c>
      <c r="AF52" s="98" t="str">
        <f t="shared" si="41"/>
        <v/>
      </c>
      <c r="AG52" s="143"/>
      <c r="AH52" s="45">
        <f t="shared" si="42"/>
        <v>0</v>
      </c>
      <c r="AI52" s="98" t="str">
        <f t="shared" si="43"/>
        <v/>
      </c>
      <c r="AJ52" s="143"/>
      <c r="AK52" s="45">
        <f t="shared" si="44"/>
        <v>0</v>
      </c>
      <c r="AL52" s="98" t="str">
        <f t="shared" si="45"/>
        <v/>
      </c>
      <c r="AM52" s="143"/>
      <c r="AN52" s="45">
        <f t="shared" si="60"/>
        <v>0</v>
      </c>
      <c r="AO52" s="549" t="str">
        <f t="shared" si="47"/>
        <v/>
      </c>
      <c r="AP52" s="99">
        <f t="shared" si="50"/>
        <v>0</v>
      </c>
      <c r="AQ52" s="551">
        <f t="shared" si="61"/>
        <v>0</v>
      </c>
      <c r="AR52" s="81">
        <f t="shared" si="62"/>
        <v>0</v>
      </c>
      <c r="AT52" s="129">
        <f t="shared" si="49"/>
        <v>0</v>
      </c>
    </row>
    <row r="53" spans="2:46" hidden="1" outlineLevel="2" x14ac:dyDescent="0.2">
      <c r="B53" s="438"/>
      <c r="C53" s="705" t="s">
        <v>69</v>
      </c>
      <c r="D53" s="706"/>
      <c r="E53" s="707"/>
      <c r="F53" s="708"/>
      <c r="G53" s="710"/>
      <c r="H53" s="51">
        <f t="shared" si="52"/>
        <v>1</v>
      </c>
      <c r="I53" s="137" t="str">
        <f>_xlfn.XLOOKUP(C53,'AU salary costs 2025'!$B$7:$B$35,'AU salary costs 2025'!$D$7:$D$35, "-")</f>
        <v>-</v>
      </c>
      <c r="J53" s="47">
        <v>37</v>
      </c>
      <c r="K53" s="293"/>
      <c r="L53" s="143"/>
      <c r="M53" s="45">
        <f t="shared" si="53"/>
        <v>0</v>
      </c>
      <c r="N53" s="98" t="str">
        <f t="shared" si="29"/>
        <v/>
      </c>
      <c r="O53" s="143"/>
      <c r="P53" s="45">
        <f t="shared" si="54"/>
        <v>0</v>
      </c>
      <c r="Q53" s="98" t="str">
        <f t="shared" si="31"/>
        <v/>
      </c>
      <c r="R53" s="143"/>
      <c r="S53" s="45">
        <f t="shared" si="55"/>
        <v>0</v>
      </c>
      <c r="T53" s="98" t="str">
        <f t="shared" si="33"/>
        <v/>
      </c>
      <c r="U53" s="143"/>
      <c r="V53" s="45">
        <f t="shared" si="56"/>
        <v>0</v>
      </c>
      <c r="W53" s="98" t="str">
        <f t="shared" si="35"/>
        <v/>
      </c>
      <c r="X53" s="143"/>
      <c r="Y53" s="45">
        <f t="shared" si="57"/>
        <v>0</v>
      </c>
      <c r="Z53" s="98" t="str">
        <f t="shared" si="37"/>
        <v/>
      </c>
      <c r="AA53" s="143"/>
      <c r="AB53" s="45">
        <f t="shared" si="58"/>
        <v>0</v>
      </c>
      <c r="AC53" s="98" t="str">
        <f t="shared" si="39"/>
        <v/>
      </c>
      <c r="AD53" s="143"/>
      <c r="AE53" s="45">
        <f t="shared" si="59"/>
        <v>0</v>
      </c>
      <c r="AF53" s="98" t="str">
        <f t="shared" si="41"/>
        <v/>
      </c>
      <c r="AG53" s="143"/>
      <c r="AH53" s="45">
        <f t="shared" si="42"/>
        <v>0</v>
      </c>
      <c r="AI53" s="98" t="str">
        <f t="shared" si="43"/>
        <v/>
      </c>
      <c r="AJ53" s="143"/>
      <c r="AK53" s="45">
        <f t="shared" si="44"/>
        <v>0</v>
      </c>
      <c r="AL53" s="98" t="str">
        <f t="shared" si="45"/>
        <v/>
      </c>
      <c r="AM53" s="143"/>
      <c r="AN53" s="45">
        <f t="shared" si="60"/>
        <v>0</v>
      </c>
      <c r="AO53" s="549" t="str">
        <f t="shared" si="47"/>
        <v/>
      </c>
      <c r="AP53" s="99">
        <f t="shared" si="50"/>
        <v>0</v>
      </c>
      <c r="AQ53" s="551">
        <f t="shared" si="61"/>
        <v>0</v>
      </c>
      <c r="AR53" s="81">
        <f>SUM(N53,Q53,T53,W53,Z53,AC53,AF53,AI53,AL53,AO53)</f>
        <v>0</v>
      </c>
      <c r="AT53" s="129">
        <f t="shared" si="49"/>
        <v>0</v>
      </c>
    </row>
    <row r="54" spans="2:46" outlineLevel="1" collapsed="1" x14ac:dyDescent="0.2">
      <c r="B54" s="438"/>
      <c r="C54" s="227"/>
      <c r="D54" s="228"/>
      <c r="E54" s="229"/>
      <c r="F54" s="230"/>
      <c r="G54" s="231"/>
      <c r="H54" s="231"/>
      <c r="I54" s="232"/>
      <c r="J54" s="232"/>
      <c r="K54" s="233" t="s">
        <v>74</v>
      </c>
      <c r="L54" s="234">
        <f t="shared" ref="L54:V54" si="63">SUM(L38:L53)</f>
        <v>0</v>
      </c>
      <c r="M54" s="234">
        <f t="shared" si="63"/>
        <v>0</v>
      </c>
      <c r="N54" s="235">
        <f t="shared" si="63"/>
        <v>0</v>
      </c>
      <c r="O54" s="234">
        <f t="shared" si="63"/>
        <v>0</v>
      </c>
      <c r="P54" s="234">
        <f t="shared" si="63"/>
        <v>0</v>
      </c>
      <c r="Q54" s="235">
        <f t="shared" si="63"/>
        <v>0</v>
      </c>
      <c r="R54" s="234">
        <f t="shared" si="63"/>
        <v>0</v>
      </c>
      <c r="S54" s="234">
        <f t="shared" si="63"/>
        <v>0</v>
      </c>
      <c r="T54" s="235">
        <f t="shared" si="63"/>
        <v>0</v>
      </c>
      <c r="U54" s="234">
        <f t="shared" si="63"/>
        <v>0</v>
      </c>
      <c r="V54" s="234">
        <f t="shared" si="63"/>
        <v>0</v>
      </c>
      <c r="W54" s="235">
        <f>SUM(W38:W53)</f>
        <v>0</v>
      </c>
      <c r="X54" s="234">
        <f t="shared" ref="X54:AO54" si="64">SUM(X38:X53)</f>
        <v>0</v>
      </c>
      <c r="Y54" s="234">
        <f t="shared" si="64"/>
        <v>0</v>
      </c>
      <c r="Z54" s="235">
        <f t="shared" si="64"/>
        <v>0</v>
      </c>
      <c r="AA54" s="234">
        <f t="shared" si="64"/>
        <v>0</v>
      </c>
      <c r="AB54" s="234">
        <f t="shared" si="64"/>
        <v>0</v>
      </c>
      <c r="AC54" s="235">
        <f t="shared" si="64"/>
        <v>0</v>
      </c>
      <c r="AD54" s="234">
        <f t="shared" si="64"/>
        <v>0</v>
      </c>
      <c r="AE54" s="234">
        <f t="shared" si="64"/>
        <v>0</v>
      </c>
      <c r="AF54" s="235">
        <f t="shared" si="64"/>
        <v>0</v>
      </c>
      <c r="AG54" s="234">
        <f t="shared" si="64"/>
        <v>0</v>
      </c>
      <c r="AH54" s="234">
        <f t="shared" si="64"/>
        <v>0</v>
      </c>
      <c r="AI54" s="235">
        <f t="shared" si="64"/>
        <v>0</v>
      </c>
      <c r="AJ54" s="234">
        <f t="shared" si="64"/>
        <v>0</v>
      </c>
      <c r="AK54" s="234">
        <f t="shared" si="64"/>
        <v>0</v>
      </c>
      <c r="AL54" s="235">
        <f t="shared" si="64"/>
        <v>0</v>
      </c>
      <c r="AM54" s="234">
        <f t="shared" si="64"/>
        <v>0</v>
      </c>
      <c r="AN54" s="234">
        <f t="shared" si="64"/>
        <v>0</v>
      </c>
      <c r="AO54" s="236">
        <f t="shared" si="64"/>
        <v>0</v>
      </c>
      <c r="AP54" s="237">
        <f>SUM(AP38:AP53)</f>
        <v>0</v>
      </c>
      <c r="AQ54" s="234">
        <f>SUM(AQ38:AQ53)</f>
        <v>0</v>
      </c>
      <c r="AR54" s="238">
        <f>SUM(AR38:AR53)</f>
        <v>0</v>
      </c>
      <c r="AT54" s="347">
        <f t="shared" si="49"/>
        <v>0</v>
      </c>
    </row>
    <row r="55" spans="2:46" outlineLevel="1" x14ac:dyDescent="0.2">
      <c r="B55" s="438"/>
      <c r="C55" s="728" t="s">
        <v>75</v>
      </c>
      <c r="D55" s="729"/>
      <c r="E55" s="729"/>
      <c r="F55" s="108" t="str">
        <f>F19</f>
        <v>Notes/Name</v>
      </c>
      <c r="G55" s="109"/>
      <c r="H55" s="110"/>
      <c r="I55" s="111" t="str">
        <f>I19</f>
        <v>Salary/mo 2025</v>
      </c>
      <c r="J55" s="111" t="str">
        <f>J19</f>
        <v>Hrs/wk</v>
      </c>
      <c r="K55" s="112" t="str">
        <f>$K$19</f>
        <v>Dept.Serv.</v>
      </c>
      <c r="L55" s="113"/>
      <c r="M55" s="114"/>
      <c r="N55" s="74"/>
      <c r="O55" s="113"/>
      <c r="P55" s="88"/>
      <c r="Q55" s="74"/>
      <c r="R55" s="113"/>
      <c r="S55" s="88"/>
      <c r="T55" s="74"/>
      <c r="U55" s="113"/>
      <c r="V55" s="88"/>
      <c r="W55" s="74"/>
      <c r="X55" s="88"/>
      <c r="Y55" s="88"/>
      <c r="Z55" s="76"/>
      <c r="AA55" s="113"/>
      <c r="AB55" s="88"/>
      <c r="AC55" s="74"/>
      <c r="AD55" s="113"/>
      <c r="AE55" s="88"/>
      <c r="AF55" s="74"/>
      <c r="AG55" s="113"/>
      <c r="AH55" s="88"/>
      <c r="AI55" s="74"/>
      <c r="AJ55" s="113"/>
      <c r="AK55" s="88"/>
      <c r="AL55" s="74"/>
      <c r="AM55" s="88"/>
      <c r="AN55" s="88"/>
      <c r="AO55" s="76"/>
      <c r="AP55" s="115"/>
      <c r="AQ55" s="88"/>
      <c r="AR55" s="75"/>
      <c r="AT55" s="348" t="s">
        <v>76</v>
      </c>
    </row>
    <row r="56" spans="2:46" outlineLevel="1" x14ac:dyDescent="0.2">
      <c r="B56" s="438"/>
      <c r="C56" s="730" t="s">
        <v>166</v>
      </c>
      <c r="D56" s="731"/>
      <c r="E56" s="732"/>
      <c r="F56" s="725"/>
      <c r="G56" s="726"/>
      <c r="H56" s="51">
        <f t="shared" ref="H56:H71" si="65">J56/37</f>
        <v>1</v>
      </c>
      <c r="I56" s="137">
        <f>_xlfn.XLOOKUP(C56,'AU salary costs 2025'!$B$7:$B$35,'AU salary costs 2025'!$D$7:$D$35, "-")</f>
        <v>52000</v>
      </c>
      <c r="J56" s="47">
        <v>37</v>
      </c>
      <c r="K56" s="578" t="s">
        <v>91</v>
      </c>
      <c r="L56" s="587"/>
      <c r="M56" s="45">
        <f t="shared" ref="M56:M71" si="66">$H56*(L56/12)</f>
        <v>0</v>
      </c>
      <c r="N56" s="98">
        <f t="shared" ref="N56:N71" si="67">IFERROR($I56*$J56/37*(1+PLPartner1)^N$3*L56,"")</f>
        <v>0</v>
      </c>
      <c r="O56" s="143"/>
      <c r="P56" s="45">
        <f t="shared" ref="P56:P71" si="68">$H56*(O56/12)</f>
        <v>0</v>
      </c>
      <c r="Q56" s="98">
        <f t="shared" ref="Q56:Q71" si="69">IFERROR($I56*$J56/37*(1+PLPartner1)^Q$3*O56,"")</f>
        <v>0</v>
      </c>
      <c r="R56" s="143"/>
      <c r="S56" s="45">
        <f t="shared" ref="S56:S71" si="70">$H56*(R56/12)</f>
        <v>0</v>
      </c>
      <c r="T56" s="98">
        <f t="shared" ref="T56:T71" si="71">IFERROR($I56*$J56/37*(1+PLPartner1)^T$3*R56,"")</f>
        <v>0</v>
      </c>
      <c r="U56" s="143"/>
      <c r="V56" s="45">
        <f t="shared" ref="V56:V71" si="72">$H56*(U56/12)</f>
        <v>0</v>
      </c>
      <c r="W56" s="98">
        <f t="shared" ref="W56:W71" si="73">IFERROR($I56*$J56/37*(1+PLPartner1)^W$3*U56,"")</f>
        <v>0</v>
      </c>
      <c r="X56" s="143"/>
      <c r="Y56" s="45">
        <f t="shared" ref="Y56:Y71" si="74">$H56*(X56/12)</f>
        <v>0</v>
      </c>
      <c r="Z56" s="98">
        <f t="shared" ref="Z56:Z71" si="75">IFERROR($I56*$J56/37*(1+PLPartner1)^Z$3*X56,"")</f>
        <v>0</v>
      </c>
      <c r="AA56" s="143"/>
      <c r="AB56" s="45">
        <f t="shared" ref="AB56:AB71" si="76">$H56*(AA56/12)</f>
        <v>0</v>
      </c>
      <c r="AC56" s="98">
        <f t="shared" ref="AC56:AC71" si="77">IFERROR($I56*$J56/37*(1+PLPartner1)^AC$3*AA56,"")</f>
        <v>0</v>
      </c>
      <c r="AD56" s="143"/>
      <c r="AE56" s="45">
        <f t="shared" ref="AE56:AE71" si="78">$H56*(AD56/12)</f>
        <v>0</v>
      </c>
      <c r="AF56" s="98">
        <f t="shared" ref="AF56:AF71" si="79">IFERROR($I56*$J56/37*(1+PLPartner1)^AF$3*AD56,"")</f>
        <v>0</v>
      </c>
      <c r="AG56" s="143"/>
      <c r="AH56" s="45">
        <f t="shared" ref="AH56:AH71" si="80">$H56*(AG56/12)</f>
        <v>0</v>
      </c>
      <c r="AI56" s="98">
        <f t="shared" ref="AI56:AI71" si="81">IFERROR($I56*$J56/37*(1+PLPartner1)^AI$3*AG56,"")</f>
        <v>0</v>
      </c>
      <c r="AJ56" s="143"/>
      <c r="AK56" s="45">
        <f t="shared" ref="AK56:AK71" si="82">$H56*(AJ56/12)</f>
        <v>0</v>
      </c>
      <c r="AL56" s="98">
        <f t="shared" ref="AL56:AL71" si="83">IFERROR($I56*$J56/37*(1+PLPartner1)^AL$3*AJ56,"")</f>
        <v>0</v>
      </c>
      <c r="AM56" s="143"/>
      <c r="AN56" s="45">
        <f t="shared" ref="AN56:AN71" si="84">$H56*(AM56/12)</f>
        <v>0</v>
      </c>
      <c r="AO56" s="549">
        <f t="shared" ref="AO56:AO71" si="85">IFERROR($I56*$J56/37*(1+PLPartner1)^AO$3*AM56,"")</f>
        <v>0</v>
      </c>
      <c r="AP56" s="99">
        <f t="shared" ref="AP56:AP71" si="86">SUM(L56,O56,R56,U56,X56,AA56,AD56,AG56,AJ56,AM56)</f>
        <v>0</v>
      </c>
      <c r="AQ56" s="551">
        <f>SUM(M56,P56,S56,V56,Y56,AB56,AE56,AH56,AK56,AN56)</f>
        <v>0</v>
      </c>
      <c r="AR56" s="81">
        <f t="shared" ref="AR56:AR71" si="87">SUM(N56,Q56,T56,W56,Z56,AC56,AF56,AI56,AL56,AO56)</f>
        <v>0</v>
      </c>
      <c r="AT56" s="129">
        <f t="shared" ref="AT56:AT71" si="88">AQ56*$AT$18</f>
        <v>0</v>
      </c>
    </row>
    <row r="57" spans="2:46" outlineLevel="1" x14ac:dyDescent="0.2">
      <c r="B57" s="438"/>
      <c r="C57" s="705" t="s">
        <v>69</v>
      </c>
      <c r="D57" s="706"/>
      <c r="E57" s="707"/>
      <c r="F57" s="708"/>
      <c r="G57" s="710"/>
      <c r="H57" s="51">
        <f t="shared" si="65"/>
        <v>1</v>
      </c>
      <c r="I57" s="137" t="str">
        <f>_xlfn.XLOOKUP(C57,'AU salary costs 2025'!$B$7:$B$35,'AU salary costs 2025'!$D$7:$D$35, "-")</f>
        <v>-</v>
      </c>
      <c r="J57" s="47">
        <v>37</v>
      </c>
      <c r="K57" s="578"/>
      <c r="L57" s="142"/>
      <c r="M57" s="45">
        <f t="shared" si="66"/>
        <v>0</v>
      </c>
      <c r="N57" s="98" t="str">
        <f t="shared" si="67"/>
        <v/>
      </c>
      <c r="O57" s="143"/>
      <c r="P57" s="45">
        <f t="shared" si="68"/>
        <v>0</v>
      </c>
      <c r="Q57" s="98" t="str">
        <f t="shared" si="69"/>
        <v/>
      </c>
      <c r="R57" s="143"/>
      <c r="S57" s="45">
        <f t="shared" si="70"/>
        <v>0</v>
      </c>
      <c r="T57" s="98" t="str">
        <f t="shared" si="71"/>
        <v/>
      </c>
      <c r="U57" s="143"/>
      <c r="V57" s="45">
        <f t="shared" si="72"/>
        <v>0</v>
      </c>
      <c r="W57" s="98" t="str">
        <f t="shared" si="73"/>
        <v/>
      </c>
      <c r="X57" s="143"/>
      <c r="Y57" s="45">
        <f t="shared" si="74"/>
        <v>0</v>
      </c>
      <c r="Z57" s="98" t="str">
        <f t="shared" si="75"/>
        <v/>
      </c>
      <c r="AA57" s="143"/>
      <c r="AB57" s="45">
        <f t="shared" si="76"/>
        <v>0</v>
      </c>
      <c r="AC57" s="98" t="str">
        <f t="shared" si="77"/>
        <v/>
      </c>
      <c r="AD57" s="143"/>
      <c r="AE57" s="45">
        <f t="shared" si="78"/>
        <v>0</v>
      </c>
      <c r="AF57" s="98" t="str">
        <f t="shared" si="79"/>
        <v/>
      </c>
      <c r="AG57" s="143"/>
      <c r="AH57" s="45">
        <f t="shared" si="80"/>
        <v>0</v>
      </c>
      <c r="AI57" s="98" t="str">
        <f t="shared" si="81"/>
        <v/>
      </c>
      <c r="AJ57" s="143"/>
      <c r="AK57" s="45">
        <f t="shared" si="82"/>
        <v>0</v>
      </c>
      <c r="AL57" s="98" t="str">
        <f t="shared" si="83"/>
        <v/>
      </c>
      <c r="AM57" s="143"/>
      <c r="AN57" s="45">
        <f t="shared" si="84"/>
        <v>0</v>
      </c>
      <c r="AO57" s="549" t="str">
        <f t="shared" si="85"/>
        <v/>
      </c>
      <c r="AP57" s="99">
        <f t="shared" si="86"/>
        <v>0</v>
      </c>
      <c r="AQ57" s="551">
        <f t="shared" ref="AQ57:AQ71" si="89">SUM(M57,P57,S57,V57,Y57,AB57,AE57,AH57,AK57,AN57)</f>
        <v>0</v>
      </c>
      <c r="AR57" s="81">
        <f t="shared" si="87"/>
        <v>0</v>
      </c>
      <c r="AT57" s="129">
        <f t="shared" si="88"/>
        <v>0</v>
      </c>
    </row>
    <row r="58" spans="2:46" outlineLevel="1" x14ac:dyDescent="0.2">
      <c r="B58" s="438"/>
      <c r="C58" s="705" t="s">
        <v>69</v>
      </c>
      <c r="D58" s="706"/>
      <c r="E58" s="707"/>
      <c r="F58" s="708"/>
      <c r="G58" s="710"/>
      <c r="H58" s="51">
        <f t="shared" si="65"/>
        <v>1</v>
      </c>
      <c r="I58" s="137" t="str">
        <f>_xlfn.XLOOKUP(C58,'AU salary costs 2025'!$B$7:$B$35,'AU salary costs 2025'!$D$7:$D$35, "-")</f>
        <v>-</v>
      </c>
      <c r="J58" s="47">
        <v>37</v>
      </c>
      <c r="K58" s="578"/>
      <c r="L58" s="142"/>
      <c r="M58" s="45">
        <f t="shared" si="66"/>
        <v>0</v>
      </c>
      <c r="N58" s="98" t="str">
        <f t="shared" si="67"/>
        <v/>
      </c>
      <c r="O58" s="143"/>
      <c r="P58" s="45">
        <f t="shared" si="68"/>
        <v>0</v>
      </c>
      <c r="Q58" s="98" t="str">
        <f t="shared" si="69"/>
        <v/>
      </c>
      <c r="R58" s="143"/>
      <c r="S58" s="45">
        <f t="shared" si="70"/>
        <v>0</v>
      </c>
      <c r="T58" s="98" t="str">
        <f t="shared" si="71"/>
        <v/>
      </c>
      <c r="U58" s="143"/>
      <c r="V58" s="45">
        <f t="shared" si="72"/>
        <v>0</v>
      </c>
      <c r="W58" s="98" t="str">
        <f t="shared" si="73"/>
        <v/>
      </c>
      <c r="X58" s="143"/>
      <c r="Y58" s="45">
        <f t="shared" si="74"/>
        <v>0</v>
      </c>
      <c r="Z58" s="98" t="str">
        <f t="shared" si="75"/>
        <v/>
      </c>
      <c r="AA58" s="143"/>
      <c r="AB58" s="45">
        <f t="shared" si="76"/>
        <v>0</v>
      </c>
      <c r="AC58" s="98" t="str">
        <f t="shared" si="77"/>
        <v/>
      </c>
      <c r="AD58" s="143"/>
      <c r="AE58" s="45">
        <f t="shared" si="78"/>
        <v>0</v>
      </c>
      <c r="AF58" s="98" t="str">
        <f t="shared" si="79"/>
        <v/>
      </c>
      <c r="AG58" s="143"/>
      <c r="AH58" s="45">
        <f t="shared" si="80"/>
        <v>0</v>
      </c>
      <c r="AI58" s="98" t="str">
        <f t="shared" si="81"/>
        <v/>
      </c>
      <c r="AJ58" s="143"/>
      <c r="AK58" s="45">
        <f t="shared" si="82"/>
        <v>0</v>
      </c>
      <c r="AL58" s="98" t="str">
        <f t="shared" si="83"/>
        <v/>
      </c>
      <c r="AM58" s="143"/>
      <c r="AN58" s="45">
        <f t="shared" si="84"/>
        <v>0</v>
      </c>
      <c r="AO58" s="549" t="str">
        <f t="shared" si="85"/>
        <v/>
      </c>
      <c r="AP58" s="99">
        <f t="shared" si="86"/>
        <v>0</v>
      </c>
      <c r="AQ58" s="551">
        <f t="shared" si="89"/>
        <v>0</v>
      </c>
      <c r="AR58" s="81">
        <f t="shared" si="87"/>
        <v>0</v>
      </c>
      <c r="AT58" s="129">
        <f t="shared" si="88"/>
        <v>0</v>
      </c>
    </row>
    <row r="59" spans="2:46" outlineLevel="1" x14ac:dyDescent="0.2">
      <c r="B59" s="438"/>
      <c r="C59" s="705" t="s">
        <v>69</v>
      </c>
      <c r="D59" s="706"/>
      <c r="E59" s="707"/>
      <c r="F59" s="708"/>
      <c r="G59" s="710"/>
      <c r="H59" s="51">
        <f t="shared" si="65"/>
        <v>1</v>
      </c>
      <c r="I59" s="137" t="str">
        <f>_xlfn.XLOOKUP(C59,'AU salary costs 2025'!$B$7:$B$35,'AU salary costs 2025'!$D$7:$D$35, "-")</f>
        <v>-</v>
      </c>
      <c r="J59" s="47">
        <v>37</v>
      </c>
      <c r="K59" s="578"/>
      <c r="L59" s="142"/>
      <c r="M59" s="45">
        <f t="shared" si="66"/>
        <v>0</v>
      </c>
      <c r="N59" s="98" t="str">
        <f t="shared" si="67"/>
        <v/>
      </c>
      <c r="O59" s="143"/>
      <c r="P59" s="45">
        <f t="shared" si="68"/>
        <v>0</v>
      </c>
      <c r="Q59" s="98" t="str">
        <f t="shared" si="69"/>
        <v/>
      </c>
      <c r="R59" s="143"/>
      <c r="S59" s="45">
        <f t="shared" si="70"/>
        <v>0</v>
      </c>
      <c r="T59" s="98" t="str">
        <f t="shared" si="71"/>
        <v/>
      </c>
      <c r="U59" s="143"/>
      <c r="V59" s="45">
        <f t="shared" si="72"/>
        <v>0</v>
      </c>
      <c r="W59" s="98" t="str">
        <f t="shared" si="73"/>
        <v/>
      </c>
      <c r="X59" s="143"/>
      <c r="Y59" s="45">
        <f t="shared" si="74"/>
        <v>0</v>
      </c>
      <c r="Z59" s="98" t="str">
        <f t="shared" si="75"/>
        <v/>
      </c>
      <c r="AA59" s="143"/>
      <c r="AB59" s="45">
        <f t="shared" si="76"/>
        <v>0</v>
      </c>
      <c r="AC59" s="98" t="str">
        <f t="shared" si="77"/>
        <v/>
      </c>
      <c r="AD59" s="143"/>
      <c r="AE59" s="45">
        <f t="shared" si="78"/>
        <v>0</v>
      </c>
      <c r="AF59" s="98" t="str">
        <f t="shared" si="79"/>
        <v/>
      </c>
      <c r="AG59" s="143"/>
      <c r="AH59" s="45">
        <f t="shared" si="80"/>
        <v>0</v>
      </c>
      <c r="AI59" s="98" t="str">
        <f t="shared" si="81"/>
        <v/>
      </c>
      <c r="AJ59" s="143"/>
      <c r="AK59" s="45">
        <f t="shared" si="82"/>
        <v>0</v>
      </c>
      <c r="AL59" s="98" t="str">
        <f t="shared" si="83"/>
        <v/>
      </c>
      <c r="AM59" s="143"/>
      <c r="AN59" s="45">
        <f t="shared" si="84"/>
        <v>0</v>
      </c>
      <c r="AO59" s="549" t="str">
        <f t="shared" si="85"/>
        <v/>
      </c>
      <c r="AP59" s="99">
        <f t="shared" si="86"/>
        <v>0</v>
      </c>
      <c r="AQ59" s="551">
        <f t="shared" si="89"/>
        <v>0</v>
      </c>
      <c r="AR59" s="81">
        <f t="shared" si="87"/>
        <v>0</v>
      </c>
      <c r="AT59" s="129">
        <f t="shared" si="88"/>
        <v>0</v>
      </c>
    </row>
    <row r="60" spans="2:46" outlineLevel="1" x14ac:dyDescent="0.2">
      <c r="B60" s="438"/>
      <c r="C60" s="705" t="s">
        <v>69</v>
      </c>
      <c r="D60" s="706"/>
      <c r="E60" s="707"/>
      <c r="F60" s="708"/>
      <c r="G60" s="710"/>
      <c r="H60" s="51">
        <f t="shared" si="65"/>
        <v>1</v>
      </c>
      <c r="I60" s="137" t="str">
        <f>_xlfn.XLOOKUP(C60,'AU salary costs 2025'!$B$7:$B$35,'AU salary costs 2025'!$D$7:$D$35, "-")</f>
        <v>-</v>
      </c>
      <c r="J60" s="47">
        <v>37</v>
      </c>
      <c r="K60" s="578"/>
      <c r="L60" s="142"/>
      <c r="M60" s="45">
        <f t="shared" si="66"/>
        <v>0</v>
      </c>
      <c r="N60" s="98" t="str">
        <f t="shared" si="67"/>
        <v/>
      </c>
      <c r="O60" s="143"/>
      <c r="P60" s="45">
        <f t="shared" si="68"/>
        <v>0</v>
      </c>
      <c r="Q60" s="98" t="str">
        <f t="shared" si="69"/>
        <v/>
      </c>
      <c r="R60" s="143"/>
      <c r="S60" s="45">
        <f t="shared" si="70"/>
        <v>0</v>
      </c>
      <c r="T60" s="98" t="str">
        <f t="shared" si="71"/>
        <v/>
      </c>
      <c r="U60" s="143"/>
      <c r="V60" s="45">
        <f t="shared" si="72"/>
        <v>0</v>
      </c>
      <c r="W60" s="98" t="str">
        <f t="shared" si="73"/>
        <v/>
      </c>
      <c r="X60" s="143"/>
      <c r="Y60" s="45">
        <f t="shared" si="74"/>
        <v>0</v>
      </c>
      <c r="Z60" s="98" t="str">
        <f t="shared" si="75"/>
        <v/>
      </c>
      <c r="AA60" s="143"/>
      <c r="AB60" s="45">
        <f t="shared" si="76"/>
        <v>0</v>
      </c>
      <c r="AC60" s="98" t="str">
        <f t="shared" si="77"/>
        <v/>
      </c>
      <c r="AD60" s="143"/>
      <c r="AE60" s="45">
        <f t="shared" si="78"/>
        <v>0</v>
      </c>
      <c r="AF60" s="98" t="str">
        <f t="shared" si="79"/>
        <v/>
      </c>
      <c r="AG60" s="143"/>
      <c r="AH60" s="45">
        <f t="shared" si="80"/>
        <v>0</v>
      </c>
      <c r="AI60" s="98" t="str">
        <f t="shared" si="81"/>
        <v/>
      </c>
      <c r="AJ60" s="143"/>
      <c r="AK60" s="45">
        <f t="shared" si="82"/>
        <v>0</v>
      </c>
      <c r="AL60" s="98" t="str">
        <f t="shared" si="83"/>
        <v/>
      </c>
      <c r="AM60" s="143"/>
      <c r="AN60" s="45">
        <f t="shared" si="84"/>
        <v>0</v>
      </c>
      <c r="AO60" s="549" t="str">
        <f t="shared" si="85"/>
        <v/>
      </c>
      <c r="AP60" s="99">
        <f t="shared" si="86"/>
        <v>0</v>
      </c>
      <c r="AQ60" s="551">
        <f t="shared" si="89"/>
        <v>0</v>
      </c>
      <c r="AR60" s="81">
        <f t="shared" si="87"/>
        <v>0</v>
      </c>
      <c r="AT60" s="129">
        <f t="shared" si="88"/>
        <v>0</v>
      </c>
    </row>
    <row r="61" spans="2:46" hidden="1" outlineLevel="2" x14ac:dyDescent="0.2">
      <c r="B61" s="438"/>
      <c r="C61" s="705" t="s">
        <v>69</v>
      </c>
      <c r="D61" s="706"/>
      <c r="E61" s="707"/>
      <c r="F61" s="708"/>
      <c r="G61" s="710"/>
      <c r="H61" s="51">
        <f t="shared" si="65"/>
        <v>1</v>
      </c>
      <c r="I61" s="137" t="str">
        <f>_xlfn.XLOOKUP(C61,'AU salary costs 2025'!$B$7:$B$35,'AU salary costs 2025'!$D$7:$D$35, "-")</f>
        <v>-</v>
      </c>
      <c r="J61" s="47">
        <v>37</v>
      </c>
      <c r="K61" s="578"/>
      <c r="L61" s="142"/>
      <c r="M61" s="45">
        <f t="shared" si="66"/>
        <v>0</v>
      </c>
      <c r="N61" s="98" t="str">
        <f t="shared" si="67"/>
        <v/>
      </c>
      <c r="O61" s="143"/>
      <c r="P61" s="45">
        <f t="shared" si="68"/>
        <v>0</v>
      </c>
      <c r="Q61" s="98" t="str">
        <f t="shared" si="69"/>
        <v/>
      </c>
      <c r="R61" s="143"/>
      <c r="S61" s="45">
        <f t="shared" si="70"/>
        <v>0</v>
      </c>
      <c r="T61" s="98" t="str">
        <f t="shared" si="71"/>
        <v/>
      </c>
      <c r="U61" s="143"/>
      <c r="V61" s="45">
        <f t="shared" si="72"/>
        <v>0</v>
      </c>
      <c r="W61" s="98" t="str">
        <f t="shared" si="73"/>
        <v/>
      </c>
      <c r="X61" s="143"/>
      <c r="Y61" s="45">
        <f t="shared" si="74"/>
        <v>0</v>
      </c>
      <c r="Z61" s="98" t="str">
        <f t="shared" si="75"/>
        <v/>
      </c>
      <c r="AA61" s="143"/>
      <c r="AB61" s="45">
        <f t="shared" si="76"/>
        <v>0</v>
      </c>
      <c r="AC61" s="98" t="str">
        <f t="shared" si="77"/>
        <v/>
      </c>
      <c r="AD61" s="143"/>
      <c r="AE61" s="45">
        <f t="shared" si="78"/>
        <v>0</v>
      </c>
      <c r="AF61" s="98" t="str">
        <f t="shared" si="79"/>
        <v/>
      </c>
      <c r="AG61" s="143"/>
      <c r="AH61" s="45">
        <f t="shared" si="80"/>
        <v>0</v>
      </c>
      <c r="AI61" s="98" t="str">
        <f t="shared" si="81"/>
        <v/>
      </c>
      <c r="AJ61" s="143"/>
      <c r="AK61" s="45">
        <f t="shared" si="82"/>
        <v>0</v>
      </c>
      <c r="AL61" s="98" t="str">
        <f t="shared" si="83"/>
        <v/>
      </c>
      <c r="AM61" s="143"/>
      <c r="AN61" s="45">
        <f t="shared" si="84"/>
        <v>0</v>
      </c>
      <c r="AO61" s="549" t="str">
        <f t="shared" si="85"/>
        <v/>
      </c>
      <c r="AP61" s="99">
        <f t="shared" si="86"/>
        <v>0</v>
      </c>
      <c r="AQ61" s="551">
        <f t="shared" si="89"/>
        <v>0</v>
      </c>
      <c r="AR61" s="81">
        <f t="shared" si="87"/>
        <v>0</v>
      </c>
      <c r="AT61" s="129">
        <f t="shared" si="88"/>
        <v>0</v>
      </c>
    </row>
    <row r="62" spans="2:46" hidden="1" outlineLevel="2" x14ac:dyDescent="0.2">
      <c r="B62" s="438"/>
      <c r="C62" s="705" t="s">
        <v>69</v>
      </c>
      <c r="D62" s="706"/>
      <c r="E62" s="707"/>
      <c r="F62" s="708"/>
      <c r="G62" s="710"/>
      <c r="H62" s="51">
        <f t="shared" si="65"/>
        <v>1</v>
      </c>
      <c r="I62" s="137" t="str">
        <f>_xlfn.XLOOKUP(C62,'AU salary costs 2025'!$B$7:$B$35,'AU salary costs 2025'!$D$7:$D$35, "-")</f>
        <v>-</v>
      </c>
      <c r="J62" s="47">
        <v>37</v>
      </c>
      <c r="K62" s="578"/>
      <c r="L62" s="142"/>
      <c r="M62" s="45">
        <f t="shared" si="66"/>
        <v>0</v>
      </c>
      <c r="N62" s="98" t="str">
        <f t="shared" si="67"/>
        <v/>
      </c>
      <c r="O62" s="143"/>
      <c r="P62" s="45">
        <f t="shared" si="68"/>
        <v>0</v>
      </c>
      <c r="Q62" s="98" t="str">
        <f t="shared" si="69"/>
        <v/>
      </c>
      <c r="R62" s="143"/>
      <c r="S62" s="45">
        <f t="shared" si="70"/>
        <v>0</v>
      </c>
      <c r="T62" s="98" t="str">
        <f t="shared" si="71"/>
        <v/>
      </c>
      <c r="U62" s="143"/>
      <c r="V62" s="45">
        <f t="shared" si="72"/>
        <v>0</v>
      </c>
      <c r="W62" s="98" t="str">
        <f t="shared" si="73"/>
        <v/>
      </c>
      <c r="X62" s="143"/>
      <c r="Y62" s="45">
        <f t="shared" si="74"/>
        <v>0</v>
      </c>
      <c r="Z62" s="98" t="str">
        <f t="shared" si="75"/>
        <v/>
      </c>
      <c r="AA62" s="143"/>
      <c r="AB62" s="45">
        <f t="shared" si="76"/>
        <v>0</v>
      </c>
      <c r="AC62" s="98" t="str">
        <f t="shared" si="77"/>
        <v/>
      </c>
      <c r="AD62" s="143"/>
      <c r="AE62" s="45">
        <f t="shared" si="78"/>
        <v>0</v>
      </c>
      <c r="AF62" s="98" t="str">
        <f t="shared" si="79"/>
        <v/>
      </c>
      <c r="AG62" s="143"/>
      <c r="AH62" s="45">
        <f t="shared" si="80"/>
        <v>0</v>
      </c>
      <c r="AI62" s="98" t="str">
        <f t="shared" si="81"/>
        <v/>
      </c>
      <c r="AJ62" s="143"/>
      <c r="AK62" s="45">
        <f t="shared" si="82"/>
        <v>0</v>
      </c>
      <c r="AL62" s="98" t="str">
        <f t="shared" si="83"/>
        <v/>
      </c>
      <c r="AM62" s="143"/>
      <c r="AN62" s="45">
        <f t="shared" si="84"/>
        <v>0</v>
      </c>
      <c r="AO62" s="549" t="str">
        <f t="shared" si="85"/>
        <v/>
      </c>
      <c r="AP62" s="99">
        <f t="shared" si="86"/>
        <v>0</v>
      </c>
      <c r="AQ62" s="551">
        <f t="shared" si="89"/>
        <v>0</v>
      </c>
      <c r="AR62" s="81">
        <f t="shared" si="87"/>
        <v>0</v>
      </c>
      <c r="AT62" s="129">
        <f t="shared" si="88"/>
        <v>0</v>
      </c>
    </row>
    <row r="63" spans="2:46" hidden="1" outlineLevel="2" x14ac:dyDescent="0.2">
      <c r="B63" s="438"/>
      <c r="C63" s="705" t="s">
        <v>69</v>
      </c>
      <c r="D63" s="706"/>
      <c r="E63" s="707"/>
      <c r="F63" s="708"/>
      <c r="G63" s="710"/>
      <c r="H63" s="51">
        <f t="shared" si="65"/>
        <v>1</v>
      </c>
      <c r="I63" s="137" t="str">
        <f>_xlfn.XLOOKUP(C63,'AU salary costs 2025'!$B$7:$B$35,'AU salary costs 2025'!$D$7:$D$35, "-")</f>
        <v>-</v>
      </c>
      <c r="J63" s="47">
        <v>37</v>
      </c>
      <c r="K63" s="578"/>
      <c r="L63" s="142"/>
      <c r="M63" s="45">
        <f t="shared" si="66"/>
        <v>0</v>
      </c>
      <c r="N63" s="98" t="str">
        <f t="shared" si="67"/>
        <v/>
      </c>
      <c r="O63" s="143"/>
      <c r="P63" s="45">
        <f t="shared" si="68"/>
        <v>0</v>
      </c>
      <c r="Q63" s="98" t="str">
        <f t="shared" si="69"/>
        <v/>
      </c>
      <c r="R63" s="143"/>
      <c r="S63" s="45">
        <f t="shared" si="70"/>
        <v>0</v>
      </c>
      <c r="T63" s="98" t="str">
        <f t="shared" si="71"/>
        <v/>
      </c>
      <c r="U63" s="143"/>
      <c r="V63" s="45">
        <f t="shared" si="72"/>
        <v>0</v>
      </c>
      <c r="W63" s="98" t="str">
        <f t="shared" si="73"/>
        <v/>
      </c>
      <c r="X63" s="143"/>
      <c r="Y63" s="45">
        <f t="shared" si="74"/>
        <v>0</v>
      </c>
      <c r="Z63" s="98" t="str">
        <f t="shared" si="75"/>
        <v/>
      </c>
      <c r="AA63" s="143"/>
      <c r="AB63" s="45">
        <f t="shared" si="76"/>
        <v>0</v>
      </c>
      <c r="AC63" s="98" t="str">
        <f t="shared" si="77"/>
        <v/>
      </c>
      <c r="AD63" s="143"/>
      <c r="AE63" s="45">
        <f t="shared" si="78"/>
        <v>0</v>
      </c>
      <c r="AF63" s="98" t="str">
        <f t="shared" si="79"/>
        <v/>
      </c>
      <c r="AG63" s="143"/>
      <c r="AH63" s="45">
        <f t="shared" si="80"/>
        <v>0</v>
      </c>
      <c r="AI63" s="98" t="str">
        <f t="shared" si="81"/>
        <v/>
      </c>
      <c r="AJ63" s="143"/>
      <c r="AK63" s="45">
        <f t="shared" si="82"/>
        <v>0</v>
      </c>
      <c r="AL63" s="98" t="str">
        <f t="shared" si="83"/>
        <v/>
      </c>
      <c r="AM63" s="143"/>
      <c r="AN63" s="45">
        <f t="shared" si="84"/>
        <v>0</v>
      </c>
      <c r="AO63" s="549" t="str">
        <f t="shared" si="85"/>
        <v/>
      </c>
      <c r="AP63" s="99">
        <f t="shared" si="86"/>
        <v>0</v>
      </c>
      <c r="AQ63" s="551">
        <f t="shared" si="89"/>
        <v>0</v>
      </c>
      <c r="AR63" s="81">
        <f t="shared" si="87"/>
        <v>0</v>
      </c>
      <c r="AT63" s="129">
        <f t="shared" si="88"/>
        <v>0</v>
      </c>
    </row>
    <row r="64" spans="2:46" hidden="1" outlineLevel="2" x14ac:dyDescent="0.2">
      <c r="B64" s="438"/>
      <c r="C64" s="705" t="s">
        <v>69</v>
      </c>
      <c r="D64" s="706"/>
      <c r="E64" s="707"/>
      <c r="F64" s="708"/>
      <c r="G64" s="710"/>
      <c r="H64" s="51">
        <f t="shared" si="65"/>
        <v>1</v>
      </c>
      <c r="I64" s="137" t="str">
        <f>_xlfn.XLOOKUP(C64,'AU salary costs 2025'!$B$7:$B$35,'AU salary costs 2025'!$D$7:$D$35, "-")</f>
        <v>-</v>
      </c>
      <c r="J64" s="47">
        <v>37</v>
      </c>
      <c r="K64" s="578"/>
      <c r="L64" s="142"/>
      <c r="M64" s="45">
        <f t="shared" si="66"/>
        <v>0</v>
      </c>
      <c r="N64" s="98" t="str">
        <f t="shared" si="67"/>
        <v/>
      </c>
      <c r="O64" s="143"/>
      <c r="P64" s="45">
        <f t="shared" si="68"/>
        <v>0</v>
      </c>
      <c r="Q64" s="98" t="str">
        <f t="shared" si="69"/>
        <v/>
      </c>
      <c r="R64" s="143"/>
      <c r="S64" s="45">
        <f t="shared" si="70"/>
        <v>0</v>
      </c>
      <c r="T64" s="98" t="str">
        <f t="shared" si="71"/>
        <v/>
      </c>
      <c r="U64" s="143"/>
      <c r="V64" s="45">
        <f t="shared" si="72"/>
        <v>0</v>
      </c>
      <c r="W64" s="98" t="str">
        <f t="shared" si="73"/>
        <v/>
      </c>
      <c r="X64" s="143"/>
      <c r="Y64" s="45">
        <f t="shared" si="74"/>
        <v>0</v>
      </c>
      <c r="Z64" s="98" t="str">
        <f t="shared" si="75"/>
        <v/>
      </c>
      <c r="AA64" s="143"/>
      <c r="AB64" s="45">
        <f t="shared" si="76"/>
        <v>0</v>
      </c>
      <c r="AC64" s="98" t="str">
        <f t="shared" si="77"/>
        <v/>
      </c>
      <c r="AD64" s="143"/>
      <c r="AE64" s="45">
        <f t="shared" si="78"/>
        <v>0</v>
      </c>
      <c r="AF64" s="98" t="str">
        <f t="shared" si="79"/>
        <v/>
      </c>
      <c r="AG64" s="143"/>
      <c r="AH64" s="45">
        <f t="shared" si="80"/>
        <v>0</v>
      </c>
      <c r="AI64" s="98" t="str">
        <f t="shared" si="81"/>
        <v/>
      </c>
      <c r="AJ64" s="143"/>
      <c r="AK64" s="45">
        <f t="shared" si="82"/>
        <v>0</v>
      </c>
      <c r="AL64" s="98" t="str">
        <f t="shared" si="83"/>
        <v/>
      </c>
      <c r="AM64" s="143"/>
      <c r="AN64" s="45">
        <f t="shared" si="84"/>
        <v>0</v>
      </c>
      <c r="AO64" s="549" t="str">
        <f t="shared" si="85"/>
        <v/>
      </c>
      <c r="AP64" s="99">
        <f t="shared" si="86"/>
        <v>0</v>
      </c>
      <c r="AQ64" s="551">
        <f t="shared" si="89"/>
        <v>0</v>
      </c>
      <c r="AR64" s="81">
        <f t="shared" si="87"/>
        <v>0</v>
      </c>
      <c r="AT64" s="129">
        <f t="shared" si="88"/>
        <v>0</v>
      </c>
    </row>
    <row r="65" spans="2:46" hidden="1" outlineLevel="2" x14ac:dyDescent="0.2">
      <c r="B65" s="438"/>
      <c r="C65" s="705" t="s">
        <v>69</v>
      </c>
      <c r="D65" s="706"/>
      <c r="E65" s="707"/>
      <c r="F65" s="708"/>
      <c r="G65" s="710"/>
      <c r="H65" s="51">
        <f t="shared" si="65"/>
        <v>1</v>
      </c>
      <c r="I65" s="137" t="str">
        <f>_xlfn.XLOOKUP(C65,'AU salary costs 2025'!$B$7:$B$35,'AU salary costs 2025'!$D$7:$D$35, "-")</f>
        <v>-</v>
      </c>
      <c r="J65" s="47">
        <v>37</v>
      </c>
      <c r="K65" s="578"/>
      <c r="L65" s="142"/>
      <c r="M65" s="45">
        <f t="shared" si="66"/>
        <v>0</v>
      </c>
      <c r="N65" s="98" t="str">
        <f t="shared" si="67"/>
        <v/>
      </c>
      <c r="O65" s="143"/>
      <c r="P65" s="45">
        <f t="shared" si="68"/>
        <v>0</v>
      </c>
      <c r="Q65" s="98" t="str">
        <f t="shared" si="69"/>
        <v/>
      </c>
      <c r="R65" s="143"/>
      <c r="S65" s="45">
        <f t="shared" si="70"/>
        <v>0</v>
      </c>
      <c r="T65" s="98" t="str">
        <f t="shared" si="71"/>
        <v/>
      </c>
      <c r="U65" s="143"/>
      <c r="V65" s="45">
        <f t="shared" si="72"/>
        <v>0</v>
      </c>
      <c r="W65" s="98" t="str">
        <f t="shared" si="73"/>
        <v/>
      </c>
      <c r="X65" s="143"/>
      <c r="Y65" s="45">
        <f t="shared" si="74"/>
        <v>0</v>
      </c>
      <c r="Z65" s="98" t="str">
        <f t="shared" si="75"/>
        <v/>
      </c>
      <c r="AA65" s="143"/>
      <c r="AB65" s="45">
        <f t="shared" si="76"/>
        <v>0</v>
      </c>
      <c r="AC65" s="98" t="str">
        <f t="shared" si="77"/>
        <v/>
      </c>
      <c r="AD65" s="143"/>
      <c r="AE65" s="45">
        <f t="shared" si="78"/>
        <v>0</v>
      </c>
      <c r="AF65" s="98" t="str">
        <f t="shared" si="79"/>
        <v/>
      </c>
      <c r="AG65" s="143"/>
      <c r="AH65" s="45">
        <f t="shared" si="80"/>
        <v>0</v>
      </c>
      <c r="AI65" s="98" t="str">
        <f t="shared" si="81"/>
        <v/>
      </c>
      <c r="AJ65" s="143"/>
      <c r="AK65" s="45">
        <f t="shared" si="82"/>
        <v>0</v>
      </c>
      <c r="AL65" s="98" t="str">
        <f t="shared" si="83"/>
        <v/>
      </c>
      <c r="AM65" s="143"/>
      <c r="AN65" s="45">
        <f t="shared" si="84"/>
        <v>0</v>
      </c>
      <c r="AO65" s="549" t="str">
        <f t="shared" si="85"/>
        <v/>
      </c>
      <c r="AP65" s="99">
        <f t="shared" si="86"/>
        <v>0</v>
      </c>
      <c r="AQ65" s="551">
        <f t="shared" si="89"/>
        <v>0</v>
      </c>
      <c r="AR65" s="81">
        <f t="shared" si="87"/>
        <v>0</v>
      </c>
      <c r="AT65" s="129">
        <f t="shared" si="88"/>
        <v>0</v>
      </c>
    </row>
    <row r="66" spans="2:46" hidden="1" outlineLevel="2" x14ac:dyDescent="0.2">
      <c r="B66" s="438"/>
      <c r="C66" s="705" t="s">
        <v>69</v>
      </c>
      <c r="D66" s="706"/>
      <c r="E66" s="707"/>
      <c r="F66" s="708"/>
      <c r="G66" s="710"/>
      <c r="H66" s="51">
        <f t="shared" si="65"/>
        <v>1</v>
      </c>
      <c r="I66" s="137" t="str">
        <f>_xlfn.XLOOKUP(C66,'AU salary costs 2025'!$B$7:$B$35,'AU salary costs 2025'!$D$7:$D$35, "-")</f>
        <v>-</v>
      </c>
      <c r="J66" s="47">
        <v>37</v>
      </c>
      <c r="K66" s="578"/>
      <c r="L66" s="142"/>
      <c r="M66" s="45">
        <f t="shared" si="66"/>
        <v>0</v>
      </c>
      <c r="N66" s="98" t="str">
        <f t="shared" si="67"/>
        <v/>
      </c>
      <c r="O66" s="143"/>
      <c r="P66" s="45">
        <f t="shared" si="68"/>
        <v>0</v>
      </c>
      <c r="Q66" s="98" t="str">
        <f t="shared" si="69"/>
        <v/>
      </c>
      <c r="R66" s="143"/>
      <c r="S66" s="45">
        <f t="shared" si="70"/>
        <v>0</v>
      </c>
      <c r="T66" s="98" t="str">
        <f t="shared" si="71"/>
        <v/>
      </c>
      <c r="U66" s="143"/>
      <c r="V66" s="45">
        <f t="shared" si="72"/>
        <v>0</v>
      </c>
      <c r="W66" s="98" t="str">
        <f t="shared" si="73"/>
        <v/>
      </c>
      <c r="X66" s="143"/>
      <c r="Y66" s="45">
        <f t="shared" si="74"/>
        <v>0</v>
      </c>
      <c r="Z66" s="98" t="str">
        <f t="shared" si="75"/>
        <v/>
      </c>
      <c r="AA66" s="143"/>
      <c r="AB66" s="45">
        <f t="shared" si="76"/>
        <v>0</v>
      </c>
      <c r="AC66" s="98" t="str">
        <f t="shared" si="77"/>
        <v/>
      </c>
      <c r="AD66" s="143"/>
      <c r="AE66" s="45">
        <f t="shared" si="78"/>
        <v>0</v>
      </c>
      <c r="AF66" s="98" t="str">
        <f t="shared" si="79"/>
        <v/>
      </c>
      <c r="AG66" s="143"/>
      <c r="AH66" s="45">
        <f t="shared" si="80"/>
        <v>0</v>
      </c>
      <c r="AI66" s="98" t="str">
        <f t="shared" si="81"/>
        <v/>
      </c>
      <c r="AJ66" s="143"/>
      <c r="AK66" s="45">
        <f t="shared" si="82"/>
        <v>0</v>
      </c>
      <c r="AL66" s="98" t="str">
        <f t="shared" si="83"/>
        <v/>
      </c>
      <c r="AM66" s="143"/>
      <c r="AN66" s="45">
        <f t="shared" si="84"/>
        <v>0</v>
      </c>
      <c r="AO66" s="549" t="str">
        <f t="shared" si="85"/>
        <v/>
      </c>
      <c r="AP66" s="99">
        <f t="shared" si="86"/>
        <v>0</v>
      </c>
      <c r="AQ66" s="551">
        <f t="shared" si="89"/>
        <v>0</v>
      </c>
      <c r="AR66" s="81">
        <f t="shared" si="87"/>
        <v>0</v>
      </c>
      <c r="AT66" s="129">
        <f t="shared" si="88"/>
        <v>0</v>
      </c>
    </row>
    <row r="67" spans="2:46" hidden="1" outlineLevel="2" x14ac:dyDescent="0.2">
      <c r="B67" s="438"/>
      <c r="C67" s="705" t="s">
        <v>69</v>
      </c>
      <c r="D67" s="706"/>
      <c r="E67" s="707"/>
      <c r="F67" s="708"/>
      <c r="G67" s="710"/>
      <c r="H67" s="51">
        <f t="shared" si="65"/>
        <v>1</v>
      </c>
      <c r="I67" s="137" t="str">
        <f>_xlfn.XLOOKUP(C67,'AU salary costs 2025'!$B$7:$B$35,'AU salary costs 2025'!$D$7:$D$35, "-")</f>
        <v>-</v>
      </c>
      <c r="J67" s="47">
        <v>37</v>
      </c>
      <c r="K67" s="578"/>
      <c r="L67" s="142"/>
      <c r="M67" s="45">
        <f t="shared" si="66"/>
        <v>0</v>
      </c>
      <c r="N67" s="98" t="str">
        <f t="shared" si="67"/>
        <v/>
      </c>
      <c r="O67" s="143"/>
      <c r="P67" s="45">
        <f t="shared" si="68"/>
        <v>0</v>
      </c>
      <c r="Q67" s="98" t="str">
        <f t="shared" si="69"/>
        <v/>
      </c>
      <c r="R67" s="143"/>
      <c r="S67" s="45">
        <f t="shared" si="70"/>
        <v>0</v>
      </c>
      <c r="T67" s="98" t="str">
        <f t="shared" si="71"/>
        <v/>
      </c>
      <c r="U67" s="143"/>
      <c r="V67" s="45">
        <f t="shared" si="72"/>
        <v>0</v>
      </c>
      <c r="W67" s="98" t="str">
        <f t="shared" si="73"/>
        <v/>
      </c>
      <c r="X67" s="143"/>
      <c r="Y67" s="45">
        <f t="shared" si="74"/>
        <v>0</v>
      </c>
      <c r="Z67" s="98" t="str">
        <f t="shared" si="75"/>
        <v/>
      </c>
      <c r="AA67" s="143"/>
      <c r="AB67" s="45">
        <f t="shared" si="76"/>
        <v>0</v>
      </c>
      <c r="AC67" s="98" t="str">
        <f t="shared" si="77"/>
        <v/>
      </c>
      <c r="AD67" s="143"/>
      <c r="AE67" s="45">
        <f t="shared" si="78"/>
        <v>0</v>
      </c>
      <c r="AF67" s="98" t="str">
        <f t="shared" si="79"/>
        <v/>
      </c>
      <c r="AG67" s="143"/>
      <c r="AH67" s="45">
        <f t="shared" si="80"/>
        <v>0</v>
      </c>
      <c r="AI67" s="98" t="str">
        <f t="shared" si="81"/>
        <v/>
      </c>
      <c r="AJ67" s="143"/>
      <c r="AK67" s="45">
        <f t="shared" si="82"/>
        <v>0</v>
      </c>
      <c r="AL67" s="98" t="str">
        <f t="shared" si="83"/>
        <v/>
      </c>
      <c r="AM67" s="143"/>
      <c r="AN67" s="45">
        <f t="shared" si="84"/>
        <v>0</v>
      </c>
      <c r="AO67" s="549" t="str">
        <f t="shared" si="85"/>
        <v/>
      </c>
      <c r="AP67" s="99">
        <f t="shared" si="86"/>
        <v>0</v>
      </c>
      <c r="AQ67" s="551">
        <f t="shared" si="89"/>
        <v>0</v>
      </c>
      <c r="AR67" s="81">
        <f t="shared" si="87"/>
        <v>0</v>
      </c>
      <c r="AT67" s="129">
        <f t="shared" si="88"/>
        <v>0</v>
      </c>
    </row>
    <row r="68" spans="2:46" hidden="1" outlineLevel="2" x14ac:dyDescent="0.2">
      <c r="B68" s="438"/>
      <c r="C68" s="705" t="s">
        <v>69</v>
      </c>
      <c r="D68" s="706"/>
      <c r="E68" s="707"/>
      <c r="F68" s="708"/>
      <c r="G68" s="710"/>
      <c r="H68" s="51">
        <f t="shared" si="65"/>
        <v>1</v>
      </c>
      <c r="I68" s="137" t="str">
        <f>_xlfn.XLOOKUP(C68,'AU salary costs 2025'!$B$7:$B$35,'AU salary costs 2025'!$D$7:$D$35, "-")</f>
        <v>-</v>
      </c>
      <c r="J68" s="47">
        <v>37</v>
      </c>
      <c r="K68" s="578"/>
      <c r="L68" s="142"/>
      <c r="M68" s="45">
        <f t="shared" si="66"/>
        <v>0</v>
      </c>
      <c r="N68" s="98" t="str">
        <f t="shared" si="67"/>
        <v/>
      </c>
      <c r="O68" s="143"/>
      <c r="P68" s="45">
        <f t="shared" si="68"/>
        <v>0</v>
      </c>
      <c r="Q68" s="98" t="str">
        <f t="shared" si="69"/>
        <v/>
      </c>
      <c r="R68" s="143"/>
      <c r="S68" s="45">
        <f t="shared" si="70"/>
        <v>0</v>
      </c>
      <c r="T68" s="98" t="str">
        <f t="shared" si="71"/>
        <v/>
      </c>
      <c r="U68" s="143"/>
      <c r="V68" s="45">
        <f t="shared" si="72"/>
        <v>0</v>
      </c>
      <c r="W68" s="98" t="str">
        <f t="shared" si="73"/>
        <v/>
      </c>
      <c r="X68" s="143"/>
      <c r="Y68" s="45">
        <f t="shared" si="74"/>
        <v>0</v>
      </c>
      <c r="Z68" s="98" t="str">
        <f t="shared" si="75"/>
        <v/>
      </c>
      <c r="AA68" s="143"/>
      <c r="AB68" s="45">
        <f t="shared" si="76"/>
        <v>0</v>
      </c>
      <c r="AC68" s="98" t="str">
        <f t="shared" si="77"/>
        <v/>
      </c>
      <c r="AD68" s="143"/>
      <c r="AE68" s="45">
        <f t="shared" si="78"/>
        <v>0</v>
      </c>
      <c r="AF68" s="98" t="str">
        <f t="shared" si="79"/>
        <v/>
      </c>
      <c r="AG68" s="143"/>
      <c r="AH68" s="45">
        <f t="shared" si="80"/>
        <v>0</v>
      </c>
      <c r="AI68" s="98" t="str">
        <f t="shared" si="81"/>
        <v/>
      </c>
      <c r="AJ68" s="143"/>
      <c r="AK68" s="45">
        <f t="shared" si="82"/>
        <v>0</v>
      </c>
      <c r="AL68" s="98" t="str">
        <f t="shared" si="83"/>
        <v/>
      </c>
      <c r="AM68" s="143"/>
      <c r="AN68" s="45">
        <f t="shared" si="84"/>
        <v>0</v>
      </c>
      <c r="AO68" s="549" t="str">
        <f t="shared" si="85"/>
        <v/>
      </c>
      <c r="AP68" s="99">
        <f t="shared" si="86"/>
        <v>0</v>
      </c>
      <c r="AQ68" s="551">
        <f t="shared" si="89"/>
        <v>0</v>
      </c>
      <c r="AR68" s="81">
        <f t="shared" si="87"/>
        <v>0</v>
      </c>
      <c r="AT68" s="129">
        <f t="shared" si="88"/>
        <v>0</v>
      </c>
    </row>
    <row r="69" spans="2:46" hidden="1" outlineLevel="2" x14ac:dyDescent="0.2">
      <c r="B69" s="438"/>
      <c r="C69" s="705" t="s">
        <v>69</v>
      </c>
      <c r="D69" s="706"/>
      <c r="E69" s="707"/>
      <c r="F69" s="708"/>
      <c r="G69" s="710"/>
      <c r="H69" s="51">
        <f t="shared" si="65"/>
        <v>1</v>
      </c>
      <c r="I69" s="137" t="str">
        <f>_xlfn.XLOOKUP(C69,'AU salary costs 2025'!$B$7:$B$35,'AU salary costs 2025'!$D$7:$D$35, "-")</f>
        <v>-</v>
      </c>
      <c r="J69" s="47">
        <v>37</v>
      </c>
      <c r="K69" s="578"/>
      <c r="L69" s="142"/>
      <c r="M69" s="45">
        <f t="shared" si="66"/>
        <v>0</v>
      </c>
      <c r="N69" s="98" t="str">
        <f t="shared" si="67"/>
        <v/>
      </c>
      <c r="O69" s="143"/>
      <c r="P69" s="45">
        <f t="shared" si="68"/>
        <v>0</v>
      </c>
      <c r="Q69" s="98" t="str">
        <f t="shared" si="69"/>
        <v/>
      </c>
      <c r="R69" s="143"/>
      <c r="S69" s="45">
        <f t="shared" si="70"/>
        <v>0</v>
      </c>
      <c r="T69" s="98" t="str">
        <f t="shared" si="71"/>
        <v/>
      </c>
      <c r="U69" s="143"/>
      <c r="V69" s="45">
        <f t="shared" si="72"/>
        <v>0</v>
      </c>
      <c r="W69" s="98" t="str">
        <f t="shared" si="73"/>
        <v/>
      </c>
      <c r="X69" s="143"/>
      <c r="Y69" s="45">
        <f t="shared" si="74"/>
        <v>0</v>
      </c>
      <c r="Z69" s="98" t="str">
        <f t="shared" si="75"/>
        <v/>
      </c>
      <c r="AA69" s="143"/>
      <c r="AB69" s="45">
        <f t="shared" si="76"/>
        <v>0</v>
      </c>
      <c r="AC69" s="98" t="str">
        <f t="shared" si="77"/>
        <v/>
      </c>
      <c r="AD69" s="143"/>
      <c r="AE69" s="45">
        <f t="shared" si="78"/>
        <v>0</v>
      </c>
      <c r="AF69" s="98" t="str">
        <f t="shared" si="79"/>
        <v/>
      </c>
      <c r="AG69" s="143"/>
      <c r="AH69" s="45">
        <f t="shared" si="80"/>
        <v>0</v>
      </c>
      <c r="AI69" s="98" t="str">
        <f t="shared" si="81"/>
        <v/>
      </c>
      <c r="AJ69" s="143"/>
      <c r="AK69" s="45">
        <f t="shared" si="82"/>
        <v>0</v>
      </c>
      <c r="AL69" s="98" t="str">
        <f t="shared" si="83"/>
        <v/>
      </c>
      <c r="AM69" s="143"/>
      <c r="AN69" s="45">
        <f t="shared" si="84"/>
        <v>0</v>
      </c>
      <c r="AO69" s="549" t="str">
        <f t="shared" si="85"/>
        <v/>
      </c>
      <c r="AP69" s="99">
        <f t="shared" si="86"/>
        <v>0</v>
      </c>
      <c r="AQ69" s="551">
        <f t="shared" si="89"/>
        <v>0</v>
      </c>
      <c r="AR69" s="81">
        <f t="shared" si="87"/>
        <v>0</v>
      </c>
      <c r="AT69" s="129">
        <f t="shared" si="88"/>
        <v>0</v>
      </c>
    </row>
    <row r="70" spans="2:46" hidden="1" outlineLevel="2" x14ac:dyDescent="0.2">
      <c r="B70" s="438"/>
      <c r="C70" s="705" t="s">
        <v>69</v>
      </c>
      <c r="D70" s="706"/>
      <c r="E70" s="707"/>
      <c r="F70" s="708"/>
      <c r="G70" s="710"/>
      <c r="H70" s="51">
        <f t="shared" si="65"/>
        <v>1</v>
      </c>
      <c r="I70" s="137" t="str">
        <f>_xlfn.XLOOKUP(C70,'AU salary costs 2025'!$B$7:$B$35,'AU salary costs 2025'!$D$7:$D$35, "-")</f>
        <v>-</v>
      </c>
      <c r="J70" s="47">
        <v>37</v>
      </c>
      <c r="K70" s="578"/>
      <c r="L70" s="142"/>
      <c r="M70" s="45">
        <f t="shared" si="66"/>
        <v>0</v>
      </c>
      <c r="N70" s="98" t="str">
        <f t="shared" si="67"/>
        <v/>
      </c>
      <c r="O70" s="143"/>
      <c r="P70" s="45">
        <f t="shared" si="68"/>
        <v>0</v>
      </c>
      <c r="Q70" s="98" t="str">
        <f t="shared" si="69"/>
        <v/>
      </c>
      <c r="R70" s="143"/>
      <c r="S70" s="45">
        <f t="shared" si="70"/>
        <v>0</v>
      </c>
      <c r="T70" s="98" t="str">
        <f t="shared" si="71"/>
        <v/>
      </c>
      <c r="U70" s="143"/>
      <c r="V70" s="45">
        <f t="shared" si="72"/>
        <v>0</v>
      </c>
      <c r="W70" s="98" t="str">
        <f t="shared" si="73"/>
        <v/>
      </c>
      <c r="X70" s="143"/>
      <c r="Y70" s="45">
        <f t="shared" si="74"/>
        <v>0</v>
      </c>
      <c r="Z70" s="98" t="str">
        <f t="shared" si="75"/>
        <v/>
      </c>
      <c r="AA70" s="143"/>
      <c r="AB70" s="45">
        <f t="shared" si="76"/>
        <v>0</v>
      </c>
      <c r="AC70" s="98" t="str">
        <f t="shared" si="77"/>
        <v/>
      </c>
      <c r="AD70" s="143"/>
      <c r="AE70" s="45">
        <f t="shared" si="78"/>
        <v>0</v>
      </c>
      <c r="AF70" s="98" t="str">
        <f t="shared" si="79"/>
        <v/>
      </c>
      <c r="AG70" s="143"/>
      <c r="AH70" s="45">
        <f t="shared" si="80"/>
        <v>0</v>
      </c>
      <c r="AI70" s="98" t="str">
        <f t="shared" si="81"/>
        <v/>
      </c>
      <c r="AJ70" s="143"/>
      <c r="AK70" s="45">
        <f t="shared" si="82"/>
        <v>0</v>
      </c>
      <c r="AL70" s="98" t="str">
        <f t="shared" si="83"/>
        <v/>
      </c>
      <c r="AM70" s="143"/>
      <c r="AN70" s="45">
        <f t="shared" si="84"/>
        <v>0</v>
      </c>
      <c r="AO70" s="549" t="str">
        <f t="shared" si="85"/>
        <v/>
      </c>
      <c r="AP70" s="99">
        <f t="shared" si="86"/>
        <v>0</v>
      </c>
      <c r="AQ70" s="551">
        <f t="shared" si="89"/>
        <v>0</v>
      </c>
      <c r="AR70" s="81">
        <f t="shared" si="87"/>
        <v>0</v>
      </c>
      <c r="AT70" s="129">
        <f t="shared" si="88"/>
        <v>0</v>
      </c>
    </row>
    <row r="71" spans="2:46" hidden="1" outlineLevel="2" x14ac:dyDescent="0.2">
      <c r="B71" s="438"/>
      <c r="C71" s="705" t="s">
        <v>69</v>
      </c>
      <c r="D71" s="706"/>
      <c r="E71" s="707"/>
      <c r="F71" s="708"/>
      <c r="G71" s="710"/>
      <c r="H71" s="51">
        <f t="shared" si="65"/>
        <v>1</v>
      </c>
      <c r="I71" s="137" t="str">
        <f>_xlfn.XLOOKUP(C71,'AU salary costs 2025'!$B$7:$B$35,'AU salary costs 2025'!$D$7:$D$35, "-")</f>
        <v>-</v>
      </c>
      <c r="J71" s="47">
        <v>37</v>
      </c>
      <c r="K71" s="578"/>
      <c r="L71" s="142"/>
      <c r="M71" s="45">
        <f t="shared" si="66"/>
        <v>0</v>
      </c>
      <c r="N71" s="98" t="str">
        <f t="shared" si="67"/>
        <v/>
      </c>
      <c r="O71" s="143"/>
      <c r="P71" s="45">
        <f t="shared" si="68"/>
        <v>0</v>
      </c>
      <c r="Q71" s="98" t="str">
        <f t="shared" si="69"/>
        <v/>
      </c>
      <c r="R71" s="143"/>
      <c r="S71" s="45">
        <f t="shared" si="70"/>
        <v>0</v>
      </c>
      <c r="T71" s="98" t="str">
        <f t="shared" si="71"/>
        <v/>
      </c>
      <c r="U71" s="143"/>
      <c r="V71" s="45">
        <f t="shared" si="72"/>
        <v>0</v>
      </c>
      <c r="W71" s="98" t="str">
        <f t="shared" si="73"/>
        <v/>
      </c>
      <c r="X71" s="143"/>
      <c r="Y71" s="45">
        <f t="shared" si="74"/>
        <v>0</v>
      </c>
      <c r="Z71" s="98" t="str">
        <f t="shared" si="75"/>
        <v/>
      </c>
      <c r="AA71" s="143"/>
      <c r="AB71" s="45">
        <f t="shared" si="76"/>
        <v>0</v>
      </c>
      <c r="AC71" s="98" t="str">
        <f t="shared" si="77"/>
        <v/>
      </c>
      <c r="AD71" s="143"/>
      <c r="AE71" s="45">
        <f t="shared" si="78"/>
        <v>0</v>
      </c>
      <c r="AF71" s="98" t="str">
        <f t="shared" si="79"/>
        <v/>
      </c>
      <c r="AG71" s="143"/>
      <c r="AH71" s="45">
        <f t="shared" si="80"/>
        <v>0</v>
      </c>
      <c r="AI71" s="98" t="str">
        <f t="shared" si="81"/>
        <v/>
      </c>
      <c r="AJ71" s="143"/>
      <c r="AK71" s="45">
        <f t="shared" si="82"/>
        <v>0</v>
      </c>
      <c r="AL71" s="98" t="str">
        <f t="shared" si="83"/>
        <v/>
      </c>
      <c r="AM71" s="143"/>
      <c r="AN71" s="45">
        <f t="shared" si="84"/>
        <v>0</v>
      </c>
      <c r="AO71" s="549" t="str">
        <f t="shared" si="85"/>
        <v/>
      </c>
      <c r="AP71" s="99">
        <f t="shared" si="86"/>
        <v>0</v>
      </c>
      <c r="AQ71" s="551">
        <f t="shared" si="89"/>
        <v>0</v>
      </c>
      <c r="AR71" s="81">
        <f t="shared" si="87"/>
        <v>0</v>
      </c>
      <c r="AT71" s="129">
        <f t="shared" si="88"/>
        <v>0</v>
      </c>
    </row>
    <row r="72" spans="2:46" ht="19" outlineLevel="1" collapsed="1" x14ac:dyDescent="0.25">
      <c r="B72" s="440" t="s">
        <v>77</v>
      </c>
      <c r="C72" s="101"/>
      <c r="D72" s="102"/>
      <c r="E72" s="85"/>
      <c r="F72" s="103"/>
      <c r="G72" s="104"/>
      <c r="H72" s="104"/>
      <c r="I72" s="105"/>
      <c r="J72" s="106"/>
      <c r="K72" s="89" t="s">
        <v>71</v>
      </c>
      <c r="L72" s="107">
        <f>SUM(L56:L71)</f>
        <v>0</v>
      </c>
      <c r="M72" s="80">
        <f>SUM(M56:M71)</f>
        <v>0</v>
      </c>
      <c r="N72" s="70">
        <f>SUM(N56:N71)</f>
        <v>0</v>
      </c>
      <c r="O72" s="107">
        <f>SUM(O56:O71)</f>
        <v>0</v>
      </c>
      <c r="P72" s="80">
        <f>SUM(P56:P71)</f>
        <v>0</v>
      </c>
      <c r="Q72" s="70">
        <f t="shared" ref="Q72:AO72" si="90">SUM(Q56:Q71)</f>
        <v>0</v>
      </c>
      <c r="R72" s="107">
        <f t="shared" si="90"/>
        <v>0</v>
      </c>
      <c r="S72" s="80">
        <f>SUM(S56:S71)</f>
        <v>0</v>
      </c>
      <c r="T72" s="70">
        <f t="shared" si="90"/>
        <v>0</v>
      </c>
      <c r="U72" s="107">
        <f t="shared" si="90"/>
        <v>0</v>
      </c>
      <c r="V72" s="80">
        <f>SUM(V56:V71)</f>
        <v>0</v>
      </c>
      <c r="W72" s="70">
        <f t="shared" si="90"/>
        <v>0</v>
      </c>
      <c r="X72" s="107">
        <f t="shared" si="90"/>
        <v>0</v>
      </c>
      <c r="Y72" s="80">
        <f>SUM(Y56:Y71)</f>
        <v>0</v>
      </c>
      <c r="Z72" s="73">
        <f t="shared" si="90"/>
        <v>0</v>
      </c>
      <c r="AA72" s="107">
        <f t="shared" si="90"/>
        <v>0</v>
      </c>
      <c r="AB72" s="80">
        <f>SUM(AB56:AB71)</f>
        <v>0</v>
      </c>
      <c r="AC72" s="70">
        <f t="shared" si="90"/>
        <v>0</v>
      </c>
      <c r="AD72" s="107">
        <f t="shared" si="90"/>
        <v>0</v>
      </c>
      <c r="AE72" s="80">
        <f>SUM(AE56:AE71)</f>
        <v>0</v>
      </c>
      <c r="AF72" s="70">
        <f t="shared" si="90"/>
        <v>0</v>
      </c>
      <c r="AG72" s="107">
        <f t="shared" si="90"/>
        <v>0</v>
      </c>
      <c r="AH72" s="80">
        <f>SUM(AH56:AH71)</f>
        <v>0</v>
      </c>
      <c r="AI72" s="70">
        <f t="shared" si="90"/>
        <v>0</v>
      </c>
      <c r="AJ72" s="107">
        <f t="shared" si="90"/>
        <v>0</v>
      </c>
      <c r="AK72" s="80">
        <f>SUM(AK56:AK71)</f>
        <v>0</v>
      </c>
      <c r="AL72" s="70">
        <f t="shared" si="90"/>
        <v>0</v>
      </c>
      <c r="AM72" s="107">
        <f t="shared" si="90"/>
        <v>0</v>
      </c>
      <c r="AN72" s="80">
        <f>SUM(AN56:AN71)</f>
        <v>0</v>
      </c>
      <c r="AO72" s="73">
        <f t="shared" si="90"/>
        <v>0</v>
      </c>
      <c r="AP72" s="79">
        <f>SUM(AP56:AP71)</f>
        <v>0</v>
      </c>
      <c r="AQ72" s="90">
        <f>SUM(AQ56:AQ71)</f>
        <v>0</v>
      </c>
      <c r="AR72" s="75">
        <f>SUM(AR56:AR71)</f>
        <v>0</v>
      </c>
      <c r="AT72" s="345">
        <f>AQ72*$AT$18</f>
        <v>0</v>
      </c>
    </row>
    <row r="73" spans="2:46" ht="15" customHeight="1" outlineLevel="1" x14ac:dyDescent="0.2">
      <c r="B73" s="438"/>
      <c r="C73" s="720" t="s">
        <v>78</v>
      </c>
      <c r="D73" s="721"/>
      <c r="E73" s="721"/>
      <c r="F73" s="219" t="str">
        <f>F19</f>
        <v>Notes/Name</v>
      </c>
      <c r="G73" s="220"/>
      <c r="H73" s="220"/>
      <c r="I73" s="221" t="str">
        <f>I19</f>
        <v>Salary/mo 2025</v>
      </c>
      <c r="J73" s="221" t="str">
        <f>J19</f>
        <v>Hrs/wk</v>
      </c>
      <c r="K73" s="676"/>
      <c r="L73" s="222"/>
      <c r="M73" s="222"/>
      <c r="N73" s="223"/>
      <c r="O73" s="222"/>
      <c r="P73" s="222"/>
      <c r="Q73" s="223"/>
      <c r="R73" s="222"/>
      <c r="S73" s="222"/>
      <c r="T73" s="223"/>
      <c r="U73" s="222"/>
      <c r="V73" s="222"/>
      <c r="W73" s="223"/>
      <c r="X73" s="222"/>
      <c r="Y73" s="222"/>
      <c r="Z73" s="223"/>
      <c r="AA73" s="222"/>
      <c r="AB73" s="222"/>
      <c r="AC73" s="223"/>
      <c r="AD73" s="222"/>
      <c r="AE73" s="222"/>
      <c r="AF73" s="223"/>
      <c r="AG73" s="222"/>
      <c r="AH73" s="222"/>
      <c r="AI73" s="223"/>
      <c r="AJ73" s="222"/>
      <c r="AK73" s="222"/>
      <c r="AL73" s="223"/>
      <c r="AM73" s="222"/>
      <c r="AN73" s="222"/>
      <c r="AO73" s="224"/>
      <c r="AP73" s="225"/>
      <c r="AQ73" s="226"/>
      <c r="AR73" s="208"/>
      <c r="AT73" s="346" t="s">
        <v>79</v>
      </c>
    </row>
    <row r="74" spans="2:46" outlineLevel="1" x14ac:dyDescent="0.2">
      <c r="B74" s="438"/>
      <c r="C74" s="730" t="s">
        <v>69</v>
      </c>
      <c r="D74" s="731"/>
      <c r="E74" s="732"/>
      <c r="F74" s="66"/>
      <c r="G74" s="100"/>
      <c r="H74" s="51">
        <f>J74/37</f>
        <v>1</v>
      </c>
      <c r="I74" s="137" t="str">
        <f>_xlfn.XLOOKUP(C74,'AU salary costs 2025'!$B$7:$B$35,'AU salary costs 2025'!$D$7:$D$35, "-")</f>
        <v>-</v>
      </c>
      <c r="J74" s="47">
        <v>37</v>
      </c>
      <c r="K74" s="293"/>
      <c r="L74" s="143"/>
      <c r="M74" s="45">
        <f>$H74*(L74/12)</f>
        <v>0</v>
      </c>
      <c r="N74" s="98" t="str">
        <f t="shared" ref="N74:N89" si="91">IFERROR($I74*$J74/37*(1+PLPartner1)^N$3*L74,"")</f>
        <v/>
      </c>
      <c r="O74" s="143"/>
      <c r="P74" s="45">
        <f>$H74*(O74/12)</f>
        <v>0</v>
      </c>
      <c r="Q74" s="98" t="str">
        <f t="shared" ref="Q74:Q89" si="92">IFERROR($I74*$J74/37*(1+PLPartner1)^Q$3*O74,"")</f>
        <v/>
      </c>
      <c r="R74" s="143"/>
      <c r="S74" s="45">
        <f>$H74*(R74/12)</f>
        <v>0</v>
      </c>
      <c r="T74" s="98" t="str">
        <f t="shared" ref="T74:T89" si="93">IFERROR($I74*$J74/37*(1+PLPartner1)^T$3*R74,"")</f>
        <v/>
      </c>
      <c r="U74" s="143"/>
      <c r="V74" s="45">
        <f>$H74*(U74/12)</f>
        <v>0</v>
      </c>
      <c r="W74" s="98" t="str">
        <f t="shared" ref="W74:W89" si="94">IFERROR($I74*$J74/37*(1+PLPartner1)^W$3*U74,"")</f>
        <v/>
      </c>
      <c r="X74" s="143"/>
      <c r="Y74" s="45">
        <f>$H74*(X74/12)</f>
        <v>0</v>
      </c>
      <c r="Z74" s="98" t="str">
        <f t="shared" ref="Z74:Z89" si="95">IFERROR($I74*$J74/37*(1+PLPartner1)^Z$3*X74,"")</f>
        <v/>
      </c>
      <c r="AA74" s="143"/>
      <c r="AB74" s="45">
        <f>$H74*(AA74/12)</f>
        <v>0</v>
      </c>
      <c r="AC74" s="98" t="str">
        <f t="shared" ref="AC74:AC89" si="96">IFERROR($I74*$J74/37*(1+PLPartner1)^AC$3*AA74,"")</f>
        <v/>
      </c>
      <c r="AD74" s="143"/>
      <c r="AE74" s="45">
        <f>$H74*(AD74/12)</f>
        <v>0</v>
      </c>
      <c r="AF74" s="98" t="str">
        <f t="shared" ref="AF74:AF89" si="97">IFERROR($I74*$J74/37*(1+PLPartner1)^AF$3*AD74,"")</f>
        <v/>
      </c>
      <c r="AG74" s="143"/>
      <c r="AH74" s="45">
        <f>$H74*(AG74/12)</f>
        <v>0</v>
      </c>
      <c r="AI74" s="98" t="str">
        <f t="shared" ref="AI74:AI89" si="98">IFERROR($I74*$J74/37*(1+PLPartner1)^AI$3*AG74,"")</f>
        <v/>
      </c>
      <c r="AJ74" s="143"/>
      <c r="AK74" s="45">
        <f>$H74*(AJ74/12)</f>
        <v>0</v>
      </c>
      <c r="AL74" s="98" t="str">
        <f t="shared" ref="AL74:AL89" si="99">IFERROR($I74*$J74/37*(1+PLPartner1)^AL$3*AJ74,"")</f>
        <v/>
      </c>
      <c r="AM74" s="143"/>
      <c r="AN74" s="45">
        <f>$H74*(AM74/12)</f>
        <v>0</v>
      </c>
      <c r="AO74" s="549" t="str">
        <f t="shared" ref="AO74:AO89" si="100">IFERROR($I74*$J74/37*(1+PLPartner1)^AO$3*AM74,"")</f>
        <v/>
      </c>
      <c r="AP74" s="99">
        <f t="shared" ref="AP74:AP76" si="101">SUM(L74,O74,R74,U74,X74,AA74,AD74,AG74,AJ74,AM74)</f>
        <v>0</v>
      </c>
      <c r="AQ74" s="551">
        <f>SUM(M74,P74,S74,V74,Y74,AB74,AE74,AH74,AK74,AN74)</f>
        <v>0</v>
      </c>
      <c r="AR74" s="81">
        <f>SUM(N74,Q74,T74,W74,Z74,AC74,AF74,AI74,AL74,AO74)</f>
        <v>0</v>
      </c>
      <c r="AT74" s="349">
        <f t="shared" ref="AT74:AT92" si="102">AQ74*$AT$18</f>
        <v>0</v>
      </c>
    </row>
    <row r="75" spans="2:46" outlineLevel="1" x14ac:dyDescent="0.2">
      <c r="B75" s="438"/>
      <c r="C75" s="705" t="s">
        <v>69</v>
      </c>
      <c r="D75" s="706"/>
      <c r="E75" s="707"/>
      <c r="F75" s="66"/>
      <c r="G75" s="100"/>
      <c r="H75" s="51">
        <f t="shared" ref="H75:H76" si="103">J75/37</f>
        <v>1</v>
      </c>
      <c r="I75" s="137" t="str">
        <f>_xlfn.XLOOKUP(C75,'AU salary costs 2025'!$B$7:$B$35,'AU salary costs 2025'!$D$7:$D$35, "-")</f>
        <v>-</v>
      </c>
      <c r="J75" s="47">
        <v>37</v>
      </c>
      <c r="K75" s="293"/>
      <c r="L75" s="143"/>
      <c r="M75" s="45">
        <f>$H75*(L75/12)</f>
        <v>0</v>
      </c>
      <c r="N75" s="98" t="str">
        <f t="shared" si="91"/>
        <v/>
      </c>
      <c r="O75" s="143"/>
      <c r="P75" s="45">
        <f>$H75*(O75/12)</f>
        <v>0</v>
      </c>
      <c r="Q75" s="98" t="str">
        <f t="shared" si="92"/>
        <v/>
      </c>
      <c r="R75" s="143"/>
      <c r="S75" s="45">
        <f>$H75*(R75/12)</f>
        <v>0</v>
      </c>
      <c r="T75" s="98" t="str">
        <f t="shared" si="93"/>
        <v/>
      </c>
      <c r="U75" s="143"/>
      <c r="V75" s="45">
        <f>$H75*(U75/12)</f>
        <v>0</v>
      </c>
      <c r="W75" s="98" t="str">
        <f t="shared" si="94"/>
        <v/>
      </c>
      <c r="X75" s="143"/>
      <c r="Y75" s="45">
        <f>$H75*(X75/12)</f>
        <v>0</v>
      </c>
      <c r="Z75" s="98" t="str">
        <f t="shared" si="95"/>
        <v/>
      </c>
      <c r="AA75" s="143"/>
      <c r="AB75" s="45">
        <f>$H75*(AA75/12)</f>
        <v>0</v>
      </c>
      <c r="AC75" s="98" t="str">
        <f t="shared" si="96"/>
        <v/>
      </c>
      <c r="AD75" s="143"/>
      <c r="AE75" s="45">
        <f>$H75*(AD75/12)</f>
        <v>0</v>
      </c>
      <c r="AF75" s="98" t="str">
        <f t="shared" si="97"/>
        <v/>
      </c>
      <c r="AG75" s="143"/>
      <c r="AH75" s="45">
        <f>$H75*(AG75/12)</f>
        <v>0</v>
      </c>
      <c r="AI75" s="98" t="str">
        <f t="shared" si="98"/>
        <v/>
      </c>
      <c r="AJ75" s="143"/>
      <c r="AK75" s="45">
        <f>$H75*(AJ75/12)</f>
        <v>0</v>
      </c>
      <c r="AL75" s="98" t="str">
        <f t="shared" si="99"/>
        <v/>
      </c>
      <c r="AM75" s="143"/>
      <c r="AN75" s="45">
        <f>$H75*(AM75/12)</f>
        <v>0</v>
      </c>
      <c r="AO75" s="549" t="str">
        <f t="shared" si="100"/>
        <v/>
      </c>
      <c r="AP75" s="99">
        <f t="shared" si="101"/>
        <v>0</v>
      </c>
      <c r="AQ75" s="551">
        <f t="shared" ref="AQ75:AQ76" si="104">SUM(M75,P75,S75,V75,Y75,AB75,AE75,AH75,AK75,AN75)</f>
        <v>0</v>
      </c>
      <c r="AR75" s="81">
        <f t="shared" ref="AR75:AR76" si="105">SUM(N75,Q75,T75,W75,Z75,AC75,AF75,AI75,AL75,AO75)</f>
        <v>0</v>
      </c>
      <c r="AT75" s="349">
        <f t="shared" si="102"/>
        <v>0</v>
      </c>
    </row>
    <row r="76" spans="2:46" outlineLevel="1" x14ac:dyDescent="0.2">
      <c r="B76" s="438"/>
      <c r="C76" s="705" t="s">
        <v>69</v>
      </c>
      <c r="D76" s="706"/>
      <c r="E76" s="707"/>
      <c r="F76" s="66"/>
      <c r="G76" s="100"/>
      <c r="H76" s="51">
        <f t="shared" si="103"/>
        <v>1</v>
      </c>
      <c r="I76" s="137" t="str">
        <f>_xlfn.XLOOKUP(C76,'AU salary costs 2025'!$B$7:$B$35,'AU salary costs 2025'!$D$7:$D$35, "-")</f>
        <v>-</v>
      </c>
      <c r="J76" s="47">
        <v>37</v>
      </c>
      <c r="K76" s="293"/>
      <c r="L76" s="143"/>
      <c r="M76" s="45">
        <f t="shared" ref="M76" si="106">$H76*(L76/12)</f>
        <v>0</v>
      </c>
      <c r="N76" s="98" t="str">
        <f t="shared" si="91"/>
        <v/>
      </c>
      <c r="O76" s="143"/>
      <c r="P76" s="45">
        <f t="shared" ref="P76" si="107">$H76*(O76/12)</f>
        <v>0</v>
      </c>
      <c r="Q76" s="98" t="str">
        <f t="shared" si="92"/>
        <v/>
      </c>
      <c r="R76" s="143"/>
      <c r="S76" s="45">
        <f t="shared" ref="S76" si="108">$H76*(R76/12)</f>
        <v>0</v>
      </c>
      <c r="T76" s="98" t="str">
        <f t="shared" si="93"/>
        <v/>
      </c>
      <c r="U76" s="143"/>
      <c r="V76" s="45">
        <f t="shared" ref="V76" si="109">$H76*(U76/12)</f>
        <v>0</v>
      </c>
      <c r="W76" s="98" t="str">
        <f t="shared" si="94"/>
        <v/>
      </c>
      <c r="X76" s="143"/>
      <c r="Y76" s="45">
        <f t="shared" ref="Y76" si="110">$H76*(X76/12)</f>
        <v>0</v>
      </c>
      <c r="Z76" s="98" t="str">
        <f t="shared" si="95"/>
        <v/>
      </c>
      <c r="AA76" s="143"/>
      <c r="AB76" s="45">
        <f t="shared" ref="AB76" si="111">$H76*(AA76/12)</f>
        <v>0</v>
      </c>
      <c r="AC76" s="98" t="str">
        <f t="shared" si="96"/>
        <v/>
      </c>
      <c r="AD76" s="143"/>
      <c r="AE76" s="45">
        <f t="shared" ref="AE76" si="112">$H76*(AD76/12)</f>
        <v>0</v>
      </c>
      <c r="AF76" s="98" t="str">
        <f t="shared" si="97"/>
        <v/>
      </c>
      <c r="AG76" s="143"/>
      <c r="AH76" s="45">
        <f t="shared" ref="AH76" si="113">$H76*(AG76/12)</f>
        <v>0</v>
      </c>
      <c r="AI76" s="98" t="str">
        <f t="shared" si="98"/>
        <v/>
      </c>
      <c r="AJ76" s="143"/>
      <c r="AK76" s="45">
        <f t="shared" ref="AK76" si="114">$H76*(AJ76/12)</f>
        <v>0</v>
      </c>
      <c r="AL76" s="98" t="str">
        <f t="shared" si="99"/>
        <v/>
      </c>
      <c r="AM76" s="143"/>
      <c r="AN76" s="45">
        <f t="shared" ref="AN76" si="115">$H76*(AM76/12)</f>
        <v>0</v>
      </c>
      <c r="AO76" s="549" t="str">
        <f t="shared" si="100"/>
        <v/>
      </c>
      <c r="AP76" s="99">
        <f t="shared" si="101"/>
        <v>0</v>
      </c>
      <c r="AQ76" s="551">
        <f t="shared" si="104"/>
        <v>0</v>
      </c>
      <c r="AR76" s="81">
        <f t="shared" si="105"/>
        <v>0</v>
      </c>
      <c r="AT76" s="349">
        <f t="shared" si="102"/>
        <v>0</v>
      </c>
    </row>
    <row r="77" spans="2:46" hidden="1" outlineLevel="2" x14ac:dyDescent="0.2">
      <c r="B77" s="438"/>
      <c r="C77" s="705" t="s">
        <v>69</v>
      </c>
      <c r="D77" s="706"/>
      <c r="E77" s="707"/>
      <c r="F77" s="66"/>
      <c r="G77" s="100"/>
      <c r="H77" s="51">
        <f t="shared" ref="H77:H89" si="116">J77/37</f>
        <v>1</v>
      </c>
      <c r="I77" s="137" t="str">
        <f>_xlfn.XLOOKUP(C77,'AU salary costs 2025'!$B$7:$B$35,'AU salary costs 2025'!$D$7:$D$35, "-")</f>
        <v>-</v>
      </c>
      <c r="J77" s="47">
        <v>37</v>
      </c>
      <c r="K77" s="293"/>
      <c r="L77" s="143"/>
      <c r="M77" s="45">
        <f t="shared" ref="M77:M88" si="117">$H77*(L77/12)</f>
        <v>0</v>
      </c>
      <c r="N77" s="98" t="str">
        <f t="shared" si="91"/>
        <v/>
      </c>
      <c r="O77" s="143"/>
      <c r="P77" s="45">
        <f t="shared" ref="P77:P89" si="118">$H77*(O77/12)</f>
        <v>0</v>
      </c>
      <c r="Q77" s="98" t="str">
        <f t="shared" si="92"/>
        <v/>
      </c>
      <c r="R77" s="143"/>
      <c r="S77" s="45">
        <f t="shared" ref="S77:S89" si="119">$H77*(R77/12)</f>
        <v>0</v>
      </c>
      <c r="T77" s="98" t="str">
        <f t="shared" si="93"/>
        <v/>
      </c>
      <c r="U77" s="143"/>
      <c r="V77" s="45">
        <f t="shared" ref="V77:V89" si="120">$H77*(U77/12)</f>
        <v>0</v>
      </c>
      <c r="W77" s="98" t="str">
        <f t="shared" si="94"/>
        <v/>
      </c>
      <c r="X77" s="143"/>
      <c r="Y77" s="45">
        <f t="shared" ref="Y77:Y89" si="121">$H77*(X77/12)</f>
        <v>0</v>
      </c>
      <c r="Z77" s="98" t="str">
        <f t="shared" si="95"/>
        <v/>
      </c>
      <c r="AA77" s="143"/>
      <c r="AB77" s="45">
        <f t="shared" ref="AB77:AB89" si="122">$H77*(AA77/12)</f>
        <v>0</v>
      </c>
      <c r="AC77" s="98" t="str">
        <f t="shared" si="96"/>
        <v/>
      </c>
      <c r="AD77" s="143"/>
      <c r="AE77" s="45">
        <f t="shared" ref="AE77:AE89" si="123">$H77*(AD77/12)</f>
        <v>0</v>
      </c>
      <c r="AF77" s="98" t="str">
        <f t="shared" si="97"/>
        <v/>
      </c>
      <c r="AG77" s="143"/>
      <c r="AH77" s="45">
        <f t="shared" ref="AH77:AH89" si="124">$H77*(AG77/12)</f>
        <v>0</v>
      </c>
      <c r="AI77" s="98" t="str">
        <f t="shared" si="98"/>
        <v/>
      </c>
      <c r="AJ77" s="143"/>
      <c r="AK77" s="45">
        <f t="shared" ref="AK77:AK89" si="125">$H77*(AJ77/12)</f>
        <v>0</v>
      </c>
      <c r="AL77" s="98" t="str">
        <f t="shared" si="99"/>
        <v/>
      </c>
      <c r="AM77" s="143"/>
      <c r="AN77" s="45">
        <f t="shared" ref="AN77:AN89" si="126">$H77*(AM77/12)</f>
        <v>0</v>
      </c>
      <c r="AO77" s="549" t="str">
        <f t="shared" si="100"/>
        <v/>
      </c>
      <c r="AP77" s="99">
        <f t="shared" ref="AP77:AP89" si="127">SUM(L77,O77,R77,U77,X77,AA77,AD77,AG77,AJ77,AM77)</f>
        <v>0</v>
      </c>
      <c r="AQ77" s="551">
        <f t="shared" ref="AQ77:AQ89" si="128">SUM(M77,P77,S77,V77,Y77,AB77,AE77,AH77,AK77,AN77)</f>
        <v>0</v>
      </c>
      <c r="AR77" s="81">
        <f t="shared" ref="AR77:AR89" si="129">SUM(N77,Q77,T77,W77,Z77,AC77,AF77,AI77,AL77,AO77)</f>
        <v>0</v>
      </c>
      <c r="AT77" s="349">
        <f t="shared" si="102"/>
        <v>0</v>
      </c>
    </row>
    <row r="78" spans="2:46" hidden="1" outlineLevel="2" x14ac:dyDescent="0.2">
      <c r="B78" s="438"/>
      <c r="C78" s="705" t="s">
        <v>69</v>
      </c>
      <c r="D78" s="706"/>
      <c r="E78" s="707"/>
      <c r="F78" s="66"/>
      <c r="G78" s="100"/>
      <c r="H78" s="51">
        <f t="shared" si="116"/>
        <v>1</v>
      </c>
      <c r="I78" s="137" t="str">
        <f>_xlfn.XLOOKUP(C78,'AU salary costs 2025'!$B$7:$B$35,'AU salary costs 2025'!$D$7:$D$35, "-")</f>
        <v>-</v>
      </c>
      <c r="J78" s="47">
        <v>37</v>
      </c>
      <c r="K78" s="293"/>
      <c r="L78" s="143"/>
      <c r="M78" s="45">
        <f t="shared" si="117"/>
        <v>0</v>
      </c>
      <c r="N78" s="98" t="str">
        <f t="shared" si="91"/>
        <v/>
      </c>
      <c r="O78" s="143"/>
      <c r="P78" s="45">
        <f t="shared" si="118"/>
        <v>0</v>
      </c>
      <c r="Q78" s="98" t="str">
        <f t="shared" si="92"/>
        <v/>
      </c>
      <c r="R78" s="143"/>
      <c r="S78" s="45">
        <f t="shared" si="119"/>
        <v>0</v>
      </c>
      <c r="T78" s="98" t="str">
        <f t="shared" si="93"/>
        <v/>
      </c>
      <c r="U78" s="143"/>
      <c r="V78" s="45">
        <f t="shared" si="120"/>
        <v>0</v>
      </c>
      <c r="W78" s="98" t="str">
        <f t="shared" si="94"/>
        <v/>
      </c>
      <c r="X78" s="143"/>
      <c r="Y78" s="45">
        <f t="shared" si="121"/>
        <v>0</v>
      </c>
      <c r="Z78" s="98" t="str">
        <f t="shared" si="95"/>
        <v/>
      </c>
      <c r="AA78" s="143"/>
      <c r="AB78" s="45">
        <f t="shared" si="122"/>
        <v>0</v>
      </c>
      <c r="AC78" s="98" t="str">
        <f t="shared" si="96"/>
        <v/>
      </c>
      <c r="AD78" s="143"/>
      <c r="AE78" s="45">
        <f t="shared" si="123"/>
        <v>0</v>
      </c>
      <c r="AF78" s="98" t="str">
        <f t="shared" si="97"/>
        <v/>
      </c>
      <c r="AG78" s="143"/>
      <c r="AH78" s="45">
        <f t="shared" si="124"/>
        <v>0</v>
      </c>
      <c r="AI78" s="98" t="str">
        <f t="shared" si="98"/>
        <v/>
      </c>
      <c r="AJ78" s="143"/>
      <c r="AK78" s="45">
        <f t="shared" si="125"/>
        <v>0</v>
      </c>
      <c r="AL78" s="98" t="str">
        <f t="shared" si="99"/>
        <v/>
      </c>
      <c r="AM78" s="143"/>
      <c r="AN78" s="45">
        <f t="shared" si="126"/>
        <v>0</v>
      </c>
      <c r="AO78" s="549" t="str">
        <f t="shared" si="100"/>
        <v/>
      </c>
      <c r="AP78" s="99">
        <f t="shared" si="127"/>
        <v>0</v>
      </c>
      <c r="AQ78" s="551">
        <f t="shared" si="128"/>
        <v>0</v>
      </c>
      <c r="AR78" s="81">
        <f t="shared" si="129"/>
        <v>0</v>
      </c>
      <c r="AT78" s="349">
        <f t="shared" si="102"/>
        <v>0</v>
      </c>
    </row>
    <row r="79" spans="2:46" hidden="1" outlineLevel="2" x14ac:dyDescent="0.2">
      <c r="B79" s="438"/>
      <c r="C79" s="705" t="s">
        <v>69</v>
      </c>
      <c r="D79" s="706"/>
      <c r="E79" s="707"/>
      <c r="F79" s="66"/>
      <c r="G79" s="100"/>
      <c r="H79" s="51">
        <f t="shared" si="116"/>
        <v>1</v>
      </c>
      <c r="I79" s="137" t="str">
        <f>_xlfn.XLOOKUP(C79,'AU salary costs 2025'!$B$7:$B$35,'AU salary costs 2025'!$D$7:$D$35, "-")</f>
        <v>-</v>
      </c>
      <c r="J79" s="47">
        <v>37</v>
      </c>
      <c r="K79" s="293"/>
      <c r="L79" s="143"/>
      <c r="M79" s="45">
        <f t="shared" si="117"/>
        <v>0</v>
      </c>
      <c r="N79" s="98" t="str">
        <f t="shared" si="91"/>
        <v/>
      </c>
      <c r="O79" s="143"/>
      <c r="P79" s="45">
        <f t="shared" si="118"/>
        <v>0</v>
      </c>
      <c r="Q79" s="98" t="str">
        <f t="shared" si="92"/>
        <v/>
      </c>
      <c r="R79" s="143"/>
      <c r="S79" s="45">
        <f t="shared" si="119"/>
        <v>0</v>
      </c>
      <c r="T79" s="98" t="str">
        <f t="shared" si="93"/>
        <v/>
      </c>
      <c r="U79" s="143"/>
      <c r="V79" s="45">
        <f t="shared" si="120"/>
        <v>0</v>
      </c>
      <c r="W79" s="98" t="str">
        <f t="shared" si="94"/>
        <v/>
      </c>
      <c r="X79" s="143"/>
      <c r="Y79" s="45">
        <f t="shared" si="121"/>
        <v>0</v>
      </c>
      <c r="Z79" s="98" t="str">
        <f t="shared" si="95"/>
        <v/>
      </c>
      <c r="AA79" s="143"/>
      <c r="AB79" s="45">
        <f t="shared" si="122"/>
        <v>0</v>
      </c>
      <c r="AC79" s="98" t="str">
        <f t="shared" si="96"/>
        <v/>
      </c>
      <c r="AD79" s="143"/>
      <c r="AE79" s="45">
        <f t="shared" si="123"/>
        <v>0</v>
      </c>
      <c r="AF79" s="98" t="str">
        <f t="shared" si="97"/>
        <v/>
      </c>
      <c r="AG79" s="143"/>
      <c r="AH79" s="45">
        <f t="shared" si="124"/>
        <v>0</v>
      </c>
      <c r="AI79" s="98" t="str">
        <f t="shared" si="98"/>
        <v/>
      </c>
      <c r="AJ79" s="143"/>
      <c r="AK79" s="45">
        <f t="shared" si="125"/>
        <v>0</v>
      </c>
      <c r="AL79" s="98" t="str">
        <f t="shared" si="99"/>
        <v/>
      </c>
      <c r="AM79" s="143"/>
      <c r="AN79" s="45">
        <f t="shared" si="126"/>
        <v>0</v>
      </c>
      <c r="AO79" s="549" t="str">
        <f t="shared" si="100"/>
        <v/>
      </c>
      <c r="AP79" s="99">
        <f t="shared" si="127"/>
        <v>0</v>
      </c>
      <c r="AQ79" s="551">
        <f t="shared" si="128"/>
        <v>0</v>
      </c>
      <c r="AR79" s="81">
        <f t="shared" si="129"/>
        <v>0</v>
      </c>
      <c r="AT79" s="349">
        <f t="shared" si="102"/>
        <v>0</v>
      </c>
    </row>
    <row r="80" spans="2:46" hidden="1" outlineLevel="2" x14ac:dyDescent="0.2">
      <c r="B80" s="438"/>
      <c r="C80" s="705" t="s">
        <v>69</v>
      </c>
      <c r="D80" s="706"/>
      <c r="E80" s="707"/>
      <c r="F80" s="66"/>
      <c r="G80" s="100"/>
      <c r="H80" s="51">
        <f t="shared" si="116"/>
        <v>1</v>
      </c>
      <c r="I80" s="137" t="str">
        <f>_xlfn.XLOOKUP(C80,'AU salary costs 2025'!$B$7:$B$35,'AU salary costs 2025'!$D$7:$D$35, "-")</f>
        <v>-</v>
      </c>
      <c r="J80" s="47">
        <v>37</v>
      </c>
      <c r="K80" s="293"/>
      <c r="L80" s="143"/>
      <c r="M80" s="45">
        <f t="shared" si="117"/>
        <v>0</v>
      </c>
      <c r="N80" s="98" t="str">
        <f t="shared" si="91"/>
        <v/>
      </c>
      <c r="O80" s="143"/>
      <c r="P80" s="45">
        <f t="shared" si="118"/>
        <v>0</v>
      </c>
      <c r="Q80" s="98" t="str">
        <f t="shared" si="92"/>
        <v/>
      </c>
      <c r="R80" s="143"/>
      <c r="S80" s="45">
        <f t="shared" si="119"/>
        <v>0</v>
      </c>
      <c r="T80" s="98" t="str">
        <f t="shared" si="93"/>
        <v/>
      </c>
      <c r="U80" s="143"/>
      <c r="V80" s="45">
        <f t="shared" si="120"/>
        <v>0</v>
      </c>
      <c r="W80" s="98" t="str">
        <f t="shared" si="94"/>
        <v/>
      </c>
      <c r="X80" s="143"/>
      <c r="Y80" s="45">
        <f t="shared" si="121"/>
        <v>0</v>
      </c>
      <c r="Z80" s="98" t="str">
        <f t="shared" si="95"/>
        <v/>
      </c>
      <c r="AA80" s="143"/>
      <c r="AB80" s="45">
        <f t="shared" si="122"/>
        <v>0</v>
      </c>
      <c r="AC80" s="98" t="str">
        <f t="shared" si="96"/>
        <v/>
      </c>
      <c r="AD80" s="143"/>
      <c r="AE80" s="45">
        <f t="shared" si="123"/>
        <v>0</v>
      </c>
      <c r="AF80" s="98" t="str">
        <f t="shared" si="97"/>
        <v/>
      </c>
      <c r="AG80" s="143"/>
      <c r="AH80" s="45">
        <f t="shared" si="124"/>
        <v>0</v>
      </c>
      <c r="AI80" s="98" t="str">
        <f t="shared" si="98"/>
        <v/>
      </c>
      <c r="AJ80" s="143"/>
      <c r="AK80" s="45">
        <f t="shared" si="125"/>
        <v>0</v>
      </c>
      <c r="AL80" s="98" t="str">
        <f t="shared" si="99"/>
        <v/>
      </c>
      <c r="AM80" s="143"/>
      <c r="AN80" s="45">
        <f t="shared" si="126"/>
        <v>0</v>
      </c>
      <c r="AO80" s="549" t="str">
        <f t="shared" si="100"/>
        <v/>
      </c>
      <c r="AP80" s="99">
        <f t="shared" si="127"/>
        <v>0</v>
      </c>
      <c r="AQ80" s="551">
        <f t="shared" si="128"/>
        <v>0</v>
      </c>
      <c r="AR80" s="81">
        <f t="shared" si="129"/>
        <v>0</v>
      </c>
      <c r="AT80" s="349">
        <f t="shared" si="102"/>
        <v>0</v>
      </c>
    </row>
    <row r="81" spans="2:46" hidden="1" outlineLevel="2" x14ac:dyDescent="0.2">
      <c r="B81" s="438"/>
      <c r="C81" s="705" t="s">
        <v>69</v>
      </c>
      <c r="D81" s="706"/>
      <c r="E81" s="707"/>
      <c r="F81" s="66"/>
      <c r="G81" s="100"/>
      <c r="H81" s="51">
        <f t="shared" si="116"/>
        <v>1</v>
      </c>
      <c r="I81" s="137" t="str">
        <f>_xlfn.XLOOKUP(C81,'AU salary costs 2025'!$B$7:$B$35,'AU salary costs 2025'!$D$7:$D$35, "-")</f>
        <v>-</v>
      </c>
      <c r="J81" s="47">
        <v>37</v>
      </c>
      <c r="K81" s="293"/>
      <c r="L81" s="143"/>
      <c r="M81" s="45">
        <f t="shared" si="117"/>
        <v>0</v>
      </c>
      <c r="N81" s="98" t="str">
        <f t="shared" si="91"/>
        <v/>
      </c>
      <c r="O81" s="143"/>
      <c r="P81" s="45">
        <f t="shared" si="118"/>
        <v>0</v>
      </c>
      <c r="Q81" s="98" t="str">
        <f t="shared" si="92"/>
        <v/>
      </c>
      <c r="R81" s="143"/>
      <c r="S81" s="45">
        <f t="shared" si="119"/>
        <v>0</v>
      </c>
      <c r="T81" s="98" t="str">
        <f t="shared" si="93"/>
        <v/>
      </c>
      <c r="U81" s="143"/>
      <c r="V81" s="45">
        <f t="shared" si="120"/>
        <v>0</v>
      </c>
      <c r="W81" s="98" t="str">
        <f t="shared" si="94"/>
        <v/>
      </c>
      <c r="X81" s="143"/>
      <c r="Y81" s="45">
        <f t="shared" si="121"/>
        <v>0</v>
      </c>
      <c r="Z81" s="98" t="str">
        <f t="shared" si="95"/>
        <v/>
      </c>
      <c r="AA81" s="143"/>
      <c r="AB81" s="45">
        <f t="shared" si="122"/>
        <v>0</v>
      </c>
      <c r="AC81" s="98" t="str">
        <f t="shared" si="96"/>
        <v/>
      </c>
      <c r="AD81" s="143"/>
      <c r="AE81" s="45">
        <f t="shared" si="123"/>
        <v>0</v>
      </c>
      <c r="AF81" s="98" t="str">
        <f t="shared" si="97"/>
        <v/>
      </c>
      <c r="AG81" s="143"/>
      <c r="AH81" s="45">
        <f t="shared" si="124"/>
        <v>0</v>
      </c>
      <c r="AI81" s="98" t="str">
        <f t="shared" si="98"/>
        <v/>
      </c>
      <c r="AJ81" s="143"/>
      <c r="AK81" s="45">
        <f t="shared" si="125"/>
        <v>0</v>
      </c>
      <c r="AL81" s="98" t="str">
        <f t="shared" si="99"/>
        <v/>
      </c>
      <c r="AM81" s="143"/>
      <c r="AN81" s="45">
        <f t="shared" si="126"/>
        <v>0</v>
      </c>
      <c r="AO81" s="549" t="str">
        <f t="shared" si="100"/>
        <v/>
      </c>
      <c r="AP81" s="99">
        <f t="shared" si="127"/>
        <v>0</v>
      </c>
      <c r="AQ81" s="551">
        <f t="shared" si="128"/>
        <v>0</v>
      </c>
      <c r="AR81" s="81">
        <f t="shared" si="129"/>
        <v>0</v>
      </c>
      <c r="AT81" s="349">
        <f t="shared" si="102"/>
        <v>0</v>
      </c>
    </row>
    <row r="82" spans="2:46" hidden="1" outlineLevel="2" x14ac:dyDescent="0.2">
      <c r="B82" s="438"/>
      <c r="C82" s="705" t="s">
        <v>69</v>
      </c>
      <c r="D82" s="706"/>
      <c r="E82" s="707"/>
      <c r="F82" s="66"/>
      <c r="G82" s="100"/>
      <c r="H82" s="51">
        <f t="shared" si="116"/>
        <v>1</v>
      </c>
      <c r="I82" s="137" t="str">
        <f>_xlfn.XLOOKUP(C82,'AU salary costs 2025'!$B$7:$B$35,'AU salary costs 2025'!$D$7:$D$35, "-")</f>
        <v>-</v>
      </c>
      <c r="J82" s="47">
        <v>37</v>
      </c>
      <c r="K82" s="293"/>
      <c r="L82" s="143"/>
      <c r="M82" s="45">
        <f t="shared" si="117"/>
        <v>0</v>
      </c>
      <c r="N82" s="98" t="str">
        <f t="shared" si="91"/>
        <v/>
      </c>
      <c r="O82" s="143"/>
      <c r="P82" s="45">
        <f t="shared" si="118"/>
        <v>0</v>
      </c>
      <c r="Q82" s="98" t="str">
        <f t="shared" si="92"/>
        <v/>
      </c>
      <c r="R82" s="143"/>
      <c r="S82" s="45">
        <f t="shared" si="119"/>
        <v>0</v>
      </c>
      <c r="T82" s="98" t="str">
        <f t="shared" si="93"/>
        <v/>
      </c>
      <c r="U82" s="143"/>
      <c r="V82" s="45">
        <f t="shared" si="120"/>
        <v>0</v>
      </c>
      <c r="W82" s="98" t="str">
        <f t="shared" si="94"/>
        <v/>
      </c>
      <c r="X82" s="143"/>
      <c r="Y82" s="45">
        <f t="shared" si="121"/>
        <v>0</v>
      </c>
      <c r="Z82" s="98" t="str">
        <f t="shared" si="95"/>
        <v/>
      </c>
      <c r="AA82" s="143"/>
      <c r="AB82" s="45">
        <f t="shared" si="122"/>
        <v>0</v>
      </c>
      <c r="AC82" s="98" t="str">
        <f t="shared" si="96"/>
        <v/>
      </c>
      <c r="AD82" s="143"/>
      <c r="AE82" s="45">
        <f t="shared" si="123"/>
        <v>0</v>
      </c>
      <c r="AF82" s="98" t="str">
        <f t="shared" si="97"/>
        <v/>
      </c>
      <c r="AG82" s="143"/>
      <c r="AH82" s="45">
        <f t="shared" si="124"/>
        <v>0</v>
      </c>
      <c r="AI82" s="98" t="str">
        <f t="shared" si="98"/>
        <v/>
      </c>
      <c r="AJ82" s="143"/>
      <c r="AK82" s="45">
        <f t="shared" si="125"/>
        <v>0</v>
      </c>
      <c r="AL82" s="98" t="str">
        <f t="shared" si="99"/>
        <v/>
      </c>
      <c r="AM82" s="143"/>
      <c r="AN82" s="45">
        <f t="shared" si="126"/>
        <v>0</v>
      </c>
      <c r="AO82" s="549" t="str">
        <f t="shared" si="100"/>
        <v/>
      </c>
      <c r="AP82" s="99">
        <f t="shared" si="127"/>
        <v>0</v>
      </c>
      <c r="AQ82" s="551">
        <f t="shared" si="128"/>
        <v>0</v>
      </c>
      <c r="AR82" s="81">
        <f t="shared" si="129"/>
        <v>0</v>
      </c>
      <c r="AT82" s="349">
        <f t="shared" si="102"/>
        <v>0</v>
      </c>
    </row>
    <row r="83" spans="2:46" hidden="1" outlineLevel="2" x14ac:dyDescent="0.2">
      <c r="B83" s="438"/>
      <c r="C83" s="705" t="s">
        <v>69</v>
      </c>
      <c r="D83" s="706"/>
      <c r="E83" s="707"/>
      <c r="F83" s="66"/>
      <c r="G83" s="100"/>
      <c r="H83" s="51">
        <f t="shared" si="116"/>
        <v>1</v>
      </c>
      <c r="I83" s="137" t="str">
        <f>_xlfn.XLOOKUP(C83,'AU salary costs 2025'!$B$7:$B$35,'AU salary costs 2025'!$D$7:$D$35, "-")</f>
        <v>-</v>
      </c>
      <c r="J83" s="47">
        <v>37</v>
      </c>
      <c r="K83" s="293"/>
      <c r="L83" s="143"/>
      <c r="M83" s="45">
        <f t="shared" si="117"/>
        <v>0</v>
      </c>
      <c r="N83" s="98" t="str">
        <f t="shared" si="91"/>
        <v/>
      </c>
      <c r="O83" s="143"/>
      <c r="P83" s="45">
        <f t="shared" si="118"/>
        <v>0</v>
      </c>
      <c r="Q83" s="98" t="str">
        <f t="shared" si="92"/>
        <v/>
      </c>
      <c r="R83" s="143"/>
      <c r="S83" s="45">
        <f t="shared" si="119"/>
        <v>0</v>
      </c>
      <c r="T83" s="98" t="str">
        <f t="shared" si="93"/>
        <v/>
      </c>
      <c r="U83" s="143"/>
      <c r="V83" s="45">
        <f t="shared" si="120"/>
        <v>0</v>
      </c>
      <c r="W83" s="98" t="str">
        <f t="shared" si="94"/>
        <v/>
      </c>
      <c r="X83" s="143"/>
      <c r="Y83" s="45">
        <f t="shared" si="121"/>
        <v>0</v>
      </c>
      <c r="Z83" s="98" t="str">
        <f t="shared" si="95"/>
        <v/>
      </c>
      <c r="AA83" s="143"/>
      <c r="AB83" s="45">
        <f t="shared" si="122"/>
        <v>0</v>
      </c>
      <c r="AC83" s="98" t="str">
        <f t="shared" si="96"/>
        <v/>
      </c>
      <c r="AD83" s="143"/>
      <c r="AE83" s="45">
        <f t="shared" si="123"/>
        <v>0</v>
      </c>
      <c r="AF83" s="98" t="str">
        <f t="shared" si="97"/>
        <v/>
      </c>
      <c r="AG83" s="143"/>
      <c r="AH83" s="45">
        <f t="shared" si="124"/>
        <v>0</v>
      </c>
      <c r="AI83" s="98" t="str">
        <f t="shared" si="98"/>
        <v/>
      </c>
      <c r="AJ83" s="143"/>
      <c r="AK83" s="45">
        <f t="shared" si="125"/>
        <v>0</v>
      </c>
      <c r="AL83" s="98" t="str">
        <f t="shared" si="99"/>
        <v/>
      </c>
      <c r="AM83" s="143"/>
      <c r="AN83" s="45">
        <f t="shared" si="126"/>
        <v>0</v>
      </c>
      <c r="AO83" s="549" t="str">
        <f t="shared" si="100"/>
        <v/>
      </c>
      <c r="AP83" s="99">
        <f t="shared" si="127"/>
        <v>0</v>
      </c>
      <c r="AQ83" s="551">
        <f t="shared" si="128"/>
        <v>0</v>
      </c>
      <c r="AR83" s="81">
        <f t="shared" si="129"/>
        <v>0</v>
      </c>
      <c r="AT83" s="349">
        <f t="shared" si="102"/>
        <v>0</v>
      </c>
    </row>
    <row r="84" spans="2:46" hidden="1" outlineLevel="2" x14ac:dyDescent="0.2">
      <c r="B84" s="438"/>
      <c r="C84" s="705" t="s">
        <v>69</v>
      </c>
      <c r="D84" s="706"/>
      <c r="E84" s="707"/>
      <c r="F84" s="66"/>
      <c r="G84" s="100"/>
      <c r="H84" s="51">
        <f t="shared" si="116"/>
        <v>1</v>
      </c>
      <c r="I84" s="137" t="str">
        <f>_xlfn.XLOOKUP(C84,'AU salary costs 2025'!$B$7:$B$35,'AU salary costs 2025'!$D$7:$D$35, "-")</f>
        <v>-</v>
      </c>
      <c r="J84" s="47">
        <v>37</v>
      </c>
      <c r="K84" s="293"/>
      <c r="L84" s="143"/>
      <c r="M84" s="45">
        <f t="shared" si="117"/>
        <v>0</v>
      </c>
      <c r="N84" s="98" t="str">
        <f t="shared" si="91"/>
        <v/>
      </c>
      <c r="O84" s="143"/>
      <c r="P84" s="45">
        <f t="shared" si="118"/>
        <v>0</v>
      </c>
      <c r="Q84" s="98" t="str">
        <f t="shared" si="92"/>
        <v/>
      </c>
      <c r="R84" s="143"/>
      <c r="S84" s="45">
        <f t="shared" si="119"/>
        <v>0</v>
      </c>
      <c r="T84" s="98" t="str">
        <f t="shared" si="93"/>
        <v/>
      </c>
      <c r="U84" s="143"/>
      <c r="V84" s="45">
        <f t="shared" si="120"/>
        <v>0</v>
      </c>
      <c r="W84" s="98" t="str">
        <f t="shared" si="94"/>
        <v/>
      </c>
      <c r="X84" s="143"/>
      <c r="Y84" s="45">
        <f t="shared" si="121"/>
        <v>0</v>
      </c>
      <c r="Z84" s="98" t="str">
        <f t="shared" si="95"/>
        <v/>
      </c>
      <c r="AA84" s="143"/>
      <c r="AB84" s="45">
        <f t="shared" si="122"/>
        <v>0</v>
      </c>
      <c r="AC84" s="98" t="str">
        <f t="shared" si="96"/>
        <v/>
      </c>
      <c r="AD84" s="143"/>
      <c r="AE84" s="45">
        <f t="shared" si="123"/>
        <v>0</v>
      </c>
      <c r="AF84" s="98" t="str">
        <f t="shared" si="97"/>
        <v/>
      </c>
      <c r="AG84" s="143"/>
      <c r="AH84" s="45">
        <f t="shared" si="124"/>
        <v>0</v>
      </c>
      <c r="AI84" s="98" t="str">
        <f t="shared" si="98"/>
        <v/>
      </c>
      <c r="AJ84" s="143"/>
      <c r="AK84" s="45">
        <f t="shared" si="125"/>
        <v>0</v>
      </c>
      <c r="AL84" s="98" t="str">
        <f t="shared" si="99"/>
        <v/>
      </c>
      <c r="AM84" s="143"/>
      <c r="AN84" s="45">
        <f t="shared" si="126"/>
        <v>0</v>
      </c>
      <c r="AO84" s="549" t="str">
        <f t="shared" si="100"/>
        <v/>
      </c>
      <c r="AP84" s="99">
        <f t="shared" si="127"/>
        <v>0</v>
      </c>
      <c r="AQ84" s="551">
        <f t="shared" si="128"/>
        <v>0</v>
      </c>
      <c r="AR84" s="81">
        <f t="shared" si="129"/>
        <v>0</v>
      </c>
      <c r="AT84" s="349">
        <f t="shared" si="102"/>
        <v>0</v>
      </c>
    </row>
    <row r="85" spans="2:46" hidden="1" outlineLevel="2" x14ac:dyDescent="0.2">
      <c r="B85" s="438"/>
      <c r="C85" s="705" t="s">
        <v>69</v>
      </c>
      <c r="D85" s="706"/>
      <c r="E85" s="707"/>
      <c r="F85" s="66"/>
      <c r="G85" s="100"/>
      <c r="H85" s="51">
        <f t="shared" si="116"/>
        <v>1</v>
      </c>
      <c r="I85" s="137" t="str">
        <f>_xlfn.XLOOKUP(C85,'AU salary costs 2025'!$B$7:$B$35,'AU salary costs 2025'!$D$7:$D$35, "-")</f>
        <v>-</v>
      </c>
      <c r="J85" s="47">
        <v>37</v>
      </c>
      <c r="K85" s="293"/>
      <c r="L85" s="143"/>
      <c r="M85" s="45">
        <f t="shared" si="117"/>
        <v>0</v>
      </c>
      <c r="N85" s="98" t="str">
        <f t="shared" si="91"/>
        <v/>
      </c>
      <c r="O85" s="143"/>
      <c r="P85" s="45">
        <f t="shared" si="118"/>
        <v>0</v>
      </c>
      <c r="Q85" s="98" t="str">
        <f t="shared" si="92"/>
        <v/>
      </c>
      <c r="R85" s="143"/>
      <c r="S85" s="45">
        <f t="shared" si="119"/>
        <v>0</v>
      </c>
      <c r="T85" s="98" t="str">
        <f t="shared" si="93"/>
        <v/>
      </c>
      <c r="U85" s="143"/>
      <c r="V85" s="45">
        <f t="shared" si="120"/>
        <v>0</v>
      </c>
      <c r="W85" s="98" t="str">
        <f t="shared" si="94"/>
        <v/>
      </c>
      <c r="X85" s="143"/>
      <c r="Y85" s="45">
        <f t="shared" si="121"/>
        <v>0</v>
      </c>
      <c r="Z85" s="98" t="str">
        <f t="shared" si="95"/>
        <v/>
      </c>
      <c r="AA85" s="143"/>
      <c r="AB85" s="45">
        <f t="shared" si="122"/>
        <v>0</v>
      </c>
      <c r="AC85" s="98" t="str">
        <f t="shared" si="96"/>
        <v/>
      </c>
      <c r="AD85" s="143"/>
      <c r="AE85" s="45">
        <f t="shared" si="123"/>
        <v>0</v>
      </c>
      <c r="AF85" s="98" t="str">
        <f t="shared" si="97"/>
        <v/>
      </c>
      <c r="AG85" s="143"/>
      <c r="AH85" s="45">
        <f t="shared" si="124"/>
        <v>0</v>
      </c>
      <c r="AI85" s="98" t="str">
        <f t="shared" si="98"/>
        <v/>
      </c>
      <c r="AJ85" s="143"/>
      <c r="AK85" s="45">
        <f t="shared" si="125"/>
        <v>0</v>
      </c>
      <c r="AL85" s="98" t="str">
        <f t="shared" si="99"/>
        <v/>
      </c>
      <c r="AM85" s="143"/>
      <c r="AN85" s="45">
        <f t="shared" si="126"/>
        <v>0</v>
      </c>
      <c r="AO85" s="549" t="str">
        <f t="shared" si="100"/>
        <v/>
      </c>
      <c r="AP85" s="99">
        <f t="shared" si="127"/>
        <v>0</v>
      </c>
      <c r="AQ85" s="551">
        <f t="shared" si="128"/>
        <v>0</v>
      </c>
      <c r="AR85" s="81">
        <f t="shared" si="129"/>
        <v>0</v>
      </c>
      <c r="AT85" s="349">
        <f t="shared" si="102"/>
        <v>0</v>
      </c>
    </row>
    <row r="86" spans="2:46" hidden="1" outlineLevel="2" x14ac:dyDescent="0.2">
      <c r="B86" s="438"/>
      <c r="C86" s="705" t="s">
        <v>69</v>
      </c>
      <c r="D86" s="706"/>
      <c r="E86" s="707"/>
      <c r="F86" s="66"/>
      <c r="G86" s="100"/>
      <c r="H86" s="51">
        <f t="shared" si="116"/>
        <v>1</v>
      </c>
      <c r="I86" s="137" t="str">
        <f>_xlfn.XLOOKUP(C86,'AU salary costs 2025'!$B$7:$B$35,'AU salary costs 2025'!$D$7:$D$35, "-")</f>
        <v>-</v>
      </c>
      <c r="J86" s="47">
        <v>37</v>
      </c>
      <c r="K86" s="293"/>
      <c r="L86" s="143"/>
      <c r="M86" s="45">
        <f t="shared" si="117"/>
        <v>0</v>
      </c>
      <c r="N86" s="98" t="str">
        <f t="shared" si="91"/>
        <v/>
      </c>
      <c r="O86" s="143"/>
      <c r="P86" s="45">
        <f t="shared" si="118"/>
        <v>0</v>
      </c>
      <c r="Q86" s="98" t="str">
        <f t="shared" si="92"/>
        <v/>
      </c>
      <c r="R86" s="143"/>
      <c r="S86" s="45">
        <f t="shared" si="119"/>
        <v>0</v>
      </c>
      <c r="T86" s="98" t="str">
        <f t="shared" si="93"/>
        <v/>
      </c>
      <c r="U86" s="143"/>
      <c r="V86" s="45">
        <f t="shared" si="120"/>
        <v>0</v>
      </c>
      <c r="W86" s="98" t="str">
        <f t="shared" si="94"/>
        <v/>
      </c>
      <c r="X86" s="143"/>
      <c r="Y86" s="45">
        <f t="shared" si="121"/>
        <v>0</v>
      </c>
      <c r="Z86" s="98" t="str">
        <f t="shared" si="95"/>
        <v/>
      </c>
      <c r="AA86" s="143"/>
      <c r="AB86" s="45">
        <f t="shared" si="122"/>
        <v>0</v>
      </c>
      <c r="AC86" s="98" t="str">
        <f t="shared" si="96"/>
        <v/>
      </c>
      <c r="AD86" s="143"/>
      <c r="AE86" s="45">
        <f t="shared" si="123"/>
        <v>0</v>
      </c>
      <c r="AF86" s="98" t="str">
        <f t="shared" si="97"/>
        <v/>
      </c>
      <c r="AG86" s="143"/>
      <c r="AH86" s="45">
        <f t="shared" si="124"/>
        <v>0</v>
      </c>
      <c r="AI86" s="98" t="str">
        <f t="shared" si="98"/>
        <v/>
      </c>
      <c r="AJ86" s="143"/>
      <c r="AK86" s="45">
        <f t="shared" si="125"/>
        <v>0</v>
      </c>
      <c r="AL86" s="98" t="str">
        <f t="shared" si="99"/>
        <v/>
      </c>
      <c r="AM86" s="143"/>
      <c r="AN86" s="45">
        <f t="shared" si="126"/>
        <v>0</v>
      </c>
      <c r="AO86" s="549" t="str">
        <f t="shared" si="100"/>
        <v/>
      </c>
      <c r="AP86" s="99">
        <f t="shared" si="127"/>
        <v>0</v>
      </c>
      <c r="AQ86" s="551">
        <f t="shared" si="128"/>
        <v>0</v>
      </c>
      <c r="AR86" s="81">
        <f t="shared" si="129"/>
        <v>0</v>
      </c>
      <c r="AT86" s="349">
        <f t="shared" si="102"/>
        <v>0</v>
      </c>
    </row>
    <row r="87" spans="2:46" hidden="1" outlineLevel="2" x14ac:dyDescent="0.2">
      <c r="B87" s="438"/>
      <c r="C87" s="705" t="s">
        <v>69</v>
      </c>
      <c r="D87" s="706"/>
      <c r="E87" s="707"/>
      <c r="F87" s="66"/>
      <c r="G87" s="100"/>
      <c r="H87" s="51">
        <f t="shared" si="116"/>
        <v>1</v>
      </c>
      <c r="I87" s="137" t="str">
        <f>_xlfn.XLOOKUP(C87,'AU salary costs 2025'!$B$7:$B$35,'AU salary costs 2025'!$D$7:$D$35, "-")</f>
        <v>-</v>
      </c>
      <c r="J87" s="47">
        <v>37</v>
      </c>
      <c r="K87" s="293"/>
      <c r="L87" s="143"/>
      <c r="M87" s="45">
        <f t="shared" si="117"/>
        <v>0</v>
      </c>
      <c r="N87" s="98" t="str">
        <f t="shared" si="91"/>
        <v/>
      </c>
      <c r="O87" s="143"/>
      <c r="P87" s="45">
        <f t="shared" si="118"/>
        <v>0</v>
      </c>
      <c r="Q87" s="98" t="str">
        <f t="shared" si="92"/>
        <v/>
      </c>
      <c r="R87" s="143"/>
      <c r="S87" s="45">
        <f t="shared" si="119"/>
        <v>0</v>
      </c>
      <c r="T87" s="98" t="str">
        <f t="shared" si="93"/>
        <v/>
      </c>
      <c r="U87" s="143"/>
      <c r="V87" s="45">
        <f t="shared" si="120"/>
        <v>0</v>
      </c>
      <c r="W87" s="98" t="str">
        <f t="shared" si="94"/>
        <v/>
      </c>
      <c r="X87" s="143"/>
      <c r="Y87" s="45">
        <f t="shared" si="121"/>
        <v>0</v>
      </c>
      <c r="Z87" s="98" t="str">
        <f t="shared" si="95"/>
        <v/>
      </c>
      <c r="AA87" s="143"/>
      <c r="AB87" s="45">
        <f t="shared" si="122"/>
        <v>0</v>
      </c>
      <c r="AC87" s="98" t="str">
        <f t="shared" si="96"/>
        <v/>
      </c>
      <c r="AD87" s="143"/>
      <c r="AE87" s="45">
        <f t="shared" si="123"/>
        <v>0</v>
      </c>
      <c r="AF87" s="98" t="str">
        <f t="shared" si="97"/>
        <v/>
      </c>
      <c r="AG87" s="143"/>
      <c r="AH87" s="45">
        <f t="shared" si="124"/>
        <v>0</v>
      </c>
      <c r="AI87" s="98" t="str">
        <f t="shared" si="98"/>
        <v/>
      </c>
      <c r="AJ87" s="143"/>
      <c r="AK87" s="45">
        <f t="shared" si="125"/>
        <v>0</v>
      </c>
      <c r="AL87" s="98" t="str">
        <f t="shared" si="99"/>
        <v/>
      </c>
      <c r="AM87" s="143"/>
      <c r="AN87" s="45">
        <f t="shared" si="126"/>
        <v>0</v>
      </c>
      <c r="AO87" s="549" t="str">
        <f t="shared" si="100"/>
        <v/>
      </c>
      <c r="AP87" s="99">
        <f t="shared" si="127"/>
        <v>0</v>
      </c>
      <c r="AQ87" s="551">
        <f t="shared" si="128"/>
        <v>0</v>
      </c>
      <c r="AR87" s="81">
        <f t="shared" si="129"/>
        <v>0</v>
      </c>
      <c r="AT87" s="349">
        <f t="shared" si="102"/>
        <v>0</v>
      </c>
    </row>
    <row r="88" spans="2:46" hidden="1" outlineLevel="2" x14ac:dyDescent="0.2">
      <c r="B88" s="438"/>
      <c r="C88" s="705" t="s">
        <v>69</v>
      </c>
      <c r="D88" s="706"/>
      <c r="E88" s="707"/>
      <c r="F88" s="66"/>
      <c r="G88" s="100"/>
      <c r="H88" s="51">
        <f t="shared" si="116"/>
        <v>1</v>
      </c>
      <c r="I88" s="137" t="str">
        <f>_xlfn.XLOOKUP(C88,'AU salary costs 2025'!$B$7:$B$35,'AU salary costs 2025'!$D$7:$D$35, "-")</f>
        <v>-</v>
      </c>
      <c r="J88" s="47">
        <v>37</v>
      </c>
      <c r="K88" s="293"/>
      <c r="L88" s="143"/>
      <c r="M88" s="45">
        <f t="shared" si="117"/>
        <v>0</v>
      </c>
      <c r="N88" s="98" t="str">
        <f t="shared" si="91"/>
        <v/>
      </c>
      <c r="O88" s="143"/>
      <c r="P88" s="45">
        <f t="shared" si="118"/>
        <v>0</v>
      </c>
      <c r="Q88" s="98" t="str">
        <f t="shared" si="92"/>
        <v/>
      </c>
      <c r="R88" s="143"/>
      <c r="S88" s="45">
        <f t="shared" si="119"/>
        <v>0</v>
      </c>
      <c r="T88" s="98" t="str">
        <f t="shared" si="93"/>
        <v/>
      </c>
      <c r="U88" s="143"/>
      <c r="V88" s="45">
        <f t="shared" si="120"/>
        <v>0</v>
      </c>
      <c r="W88" s="98" t="str">
        <f t="shared" si="94"/>
        <v/>
      </c>
      <c r="X88" s="143"/>
      <c r="Y88" s="45">
        <f t="shared" si="121"/>
        <v>0</v>
      </c>
      <c r="Z88" s="98" t="str">
        <f t="shared" si="95"/>
        <v/>
      </c>
      <c r="AA88" s="143"/>
      <c r="AB88" s="45">
        <f t="shared" si="122"/>
        <v>0</v>
      </c>
      <c r="AC88" s="98" t="str">
        <f t="shared" si="96"/>
        <v/>
      </c>
      <c r="AD88" s="143"/>
      <c r="AE88" s="45">
        <f t="shared" si="123"/>
        <v>0</v>
      </c>
      <c r="AF88" s="98" t="str">
        <f t="shared" si="97"/>
        <v/>
      </c>
      <c r="AG88" s="143"/>
      <c r="AH88" s="45">
        <f t="shared" si="124"/>
        <v>0</v>
      </c>
      <c r="AI88" s="98" t="str">
        <f t="shared" si="98"/>
        <v/>
      </c>
      <c r="AJ88" s="143"/>
      <c r="AK88" s="45">
        <f t="shared" si="125"/>
        <v>0</v>
      </c>
      <c r="AL88" s="98" t="str">
        <f t="shared" si="99"/>
        <v/>
      </c>
      <c r="AM88" s="143"/>
      <c r="AN88" s="45">
        <f t="shared" si="126"/>
        <v>0</v>
      </c>
      <c r="AO88" s="549" t="str">
        <f t="shared" si="100"/>
        <v/>
      </c>
      <c r="AP88" s="99">
        <f t="shared" si="127"/>
        <v>0</v>
      </c>
      <c r="AQ88" s="551">
        <f t="shared" si="128"/>
        <v>0</v>
      </c>
      <c r="AR88" s="81">
        <f t="shared" si="129"/>
        <v>0</v>
      </c>
      <c r="AT88" s="349">
        <f t="shared" si="102"/>
        <v>0</v>
      </c>
    </row>
    <row r="89" spans="2:46" hidden="1" outlineLevel="2" x14ac:dyDescent="0.2">
      <c r="B89" s="438"/>
      <c r="C89" s="705" t="s">
        <v>69</v>
      </c>
      <c r="D89" s="706"/>
      <c r="E89" s="707"/>
      <c r="F89" s="66"/>
      <c r="G89" s="100"/>
      <c r="H89" s="51">
        <f t="shared" si="116"/>
        <v>1</v>
      </c>
      <c r="I89" s="137" t="str">
        <f>_xlfn.XLOOKUP(C89,'AU salary costs 2025'!$B$7:$B$35,'AU salary costs 2025'!$D$7:$D$35, "-")</f>
        <v>-</v>
      </c>
      <c r="J89" s="47">
        <v>37</v>
      </c>
      <c r="K89" s="293"/>
      <c r="L89" s="143"/>
      <c r="M89" s="45">
        <f>$H89*(L89/12)</f>
        <v>0</v>
      </c>
      <c r="N89" s="98" t="str">
        <f t="shared" si="91"/>
        <v/>
      </c>
      <c r="O89" s="143"/>
      <c r="P89" s="45">
        <f t="shared" si="118"/>
        <v>0</v>
      </c>
      <c r="Q89" s="98" t="str">
        <f t="shared" si="92"/>
        <v/>
      </c>
      <c r="R89" s="143"/>
      <c r="S89" s="45">
        <f t="shared" si="119"/>
        <v>0</v>
      </c>
      <c r="T89" s="98" t="str">
        <f t="shared" si="93"/>
        <v/>
      </c>
      <c r="U89" s="143"/>
      <c r="V89" s="45">
        <f t="shared" si="120"/>
        <v>0</v>
      </c>
      <c r="W89" s="98" t="str">
        <f t="shared" si="94"/>
        <v/>
      </c>
      <c r="X89" s="143"/>
      <c r="Y89" s="45">
        <f t="shared" si="121"/>
        <v>0</v>
      </c>
      <c r="Z89" s="98" t="str">
        <f t="shared" si="95"/>
        <v/>
      </c>
      <c r="AA89" s="143"/>
      <c r="AB89" s="45">
        <f t="shared" si="122"/>
        <v>0</v>
      </c>
      <c r="AC89" s="98" t="str">
        <f t="shared" si="96"/>
        <v/>
      </c>
      <c r="AD89" s="143"/>
      <c r="AE89" s="45">
        <f t="shared" si="123"/>
        <v>0</v>
      </c>
      <c r="AF89" s="98" t="str">
        <f t="shared" si="97"/>
        <v/>
      </c>
      <c r="AG89" s="143"/>
      <c r="AH89" s="45">
        <f t="shared" si="124"/>
        <v>0</v>
      </c>
      <c r="AI89" s="98" t="str">
        <f t="shared" si="98"/>
        <v/>
      </c>
      <c r="AJ89" s="143"/>
      <c r="AK89" s="45">
        <f t="shared" si="125"/>
        <v>0</v>
      </c>
      <c r="AL89" s="98" t="str">
        <f t="shared" si="99"/>
        <v/>
      </c>
      <c r="AM89" s="143"/>
      <c r="AN89" s="45">
        <f t="shared" si="126"/>
        <v>0</v>
      </c>
      <c r="AO89" s="549" t="str">
        <f t="shared" si="100"/>
        <v/>
      </c>
      <c r="AP89" s="99">
        <f t="shared" si="127"/>
        <v>0</v>
      </c>
      <c r="AQ89" s="551">
        <f t="shared" si="128"/>
        <v>0</v>
      </c>
      <c r="AR89" s="81">
        <f t="shared" si="129"/>
        <v>0</v>
      </c>
      <c r="AT89" s="349">
        <f t="shared" si="102"/>
        <v>0</v>
      </c>
    </row>
    <row r="90" spans="2:46" s="67" customFormat="1" outlineLevel="1" collapsed="1" x14ac:dyDescent="0.2">
      <c r="B90" s="441"/>
      <c r="C90" s="240"/>
      <c r="D90" s="241"/>
      <c r="E90" s="242"/>
      <c r="F90" s="243"/>
      <c r="G90" s="244"/>
      <c r="H90" s="244"/>
      <c r="I90" s="245"/>
      <c r="J90" s="245"/>
      <c r="K90" s="233" t="s">
        <v>80</v>
      </c>
      <c r="L90" s="234">
        <f t="shared" ref="L90:AO90" si="130">SUM(L74:L89)</f>
        <v>0</v>
      </c>
      <c r="M90" s="234">
        <f t="shared" si="130"/>
        <v>0</v>
      </c>
      <c r="N90" s="235">
        <f t="shared" si="130"/>
        <v>0</v>
      </c>
      <c r="O90" s="234">
        <f t="shared" si="130"/>
        <v>0</v>
      </c>
      <c r="P90" s="234">
        <f t="shared" si="130"/>
        <v>0</v>
      </c>
      <c r="Q90" s="235">
        <f t="shared" si="130"/>
        <v>0</v>
      </c>
      <c r="R90" s="234">
        <f t="shared" si="130"/>
        <v>0</v>
      </c>
      <c r="S90" s="234">
        <f t="shared" si="130"/>
        <v>0</v>
      </c>
      <c r="T90" s="235">
        <f t="shared" si="130"/>
        <v>0</v>
      </c>
      <c r="U90" s="234">
        <f t="shared" si="130"/>
        <v>0</v>
      </c>
      <c r="V90" s="234">
        <f t="shared" si="130"/>
        <v>0</v>
      </c>
      <c r="W90" s="235">
        <f t="shared" si="130"/>
        <v>0</v>
      </c>
      <c r="X90" s="234">
        <f t="shared" si="130"/>
        <v>0</v>
      </c>
      <c r="Y90" s="234">
        <f t="shared" si="130"/>
        <v>0</v>
      </c>
      <c r="Z90" s="235">
        <f t="shared" si="130"/>
        <v>0</v>
      </c>
      <c r="AA90" s="234">
        <f t="shared" si="130"/>
        <v>0</v>
      </c>
      <c r="AB90" s="234">
        <f t="shared" si="130"/>
        <v>0</v>
      </c>
      <c r="AC90" s="235">
        <f t="shared" si="130"/>
        <v>0</v>
      </c>
      <c r="AD90" s="234">
        <f t="shared" si="130"/>
        <v>0</v>
      </c>
      <c r="AE90" s="234">
        <f t="shared" si="130"/>
        <v>0</v>
      </c>
      <c r="AF90" s="235">
        <f t="shared" si="130"/>
        <v>0</v>
      </c>
      <c r="AG90" s="234">
        <f t="shared" si="130"/>
        <v>0</v>
      </c>
      <c r="AH90" s="234">
        <f t="shared" si="130"/>
        <v>0</v>
      </c>
      <c r="AI90" s="235">
        <f t="shared" si="130"/>
        <v>0</v>
      </c>
      <c r="AJ90" s="234">
        <f t="shared" si="130"/>
        <v>0</v>
      </c>
      <c r="AK90" s="234">
        <f t="shared" si="130"/>
        <v>0</v>
      </c>
      <c r="AL90" s="235">
        <f t="shared" si="130"/>
        <v>0</v>
      </c>
      <c r="AM90" s="234">
        <f t="shared" si="130"/>
        <v>0</v>
      </c>
      <c r="AN90" s="234">
        <f t="shared" si="130"/>
        <v>0</v>
      </c>
      <c r="AO90" s="236">
        <f t="shared" si="130"/>
        <v>0</v>
      </c>
      <c r="AP90" s="316">
        <f>SUM(AP74:AP89)</f>
        <v>0</v>
      </c>
      <c r="AQ90" s="234">
        <f>SUM(AQ74:AQ89)</f>
        <v>0</v>
      </c>
      <c r="AR90" s="238">
        <f>SUM(AR74:AR89)</f>
        <v>0</v>
      </c>
      <c r="AS90"/>
      <c r="AT90" s="347">
        <f t="shared" si="102"/>
        <v>0</v>
      </c>
    </row>
    <row r="91" spans="2:46" s="67" customFormat="1" outlineLevel="1" x14ac:dyDescent="0.2">
      <c r="B91" s="441"/>
      <c r="C91" s="534"/>
      <c r="D91" s="535"/>
      <c r="E91" s="536"/>
      <c r="F91" s="537"/>
      <c r="G91" s="538"/>
      <c r="H91" s="538"/>
      <c r="I91" s="539"/>
      <c r="J91" s="539"/>
      <c r="K91" s="540" t="s">
        <v>81</v>
      </c>
      <c r="L91" s="541">
        <f t="shared" ref="L91:AO91" si="131">L90+L54</f>
        <v>0</v>
      </c>
      <c r="M91" s="541">
        <f t="shared" si="131"/>
        <v>0</v>
      </c>
      <c r="N91" s="557">
        <f t="shared" si="131"/>
        <v>0</v>
      </c>
      <c r="O91" s="541">
        <f t="shared" si="131"/>
        <v>0</v>
      </c>
      <c r="P91" s="541">
        <f t="shared" si="131"/>
        <v>0</v>
      </c>
      <c r="Q91" s="557">
        <f t="shared" si="131"/>
        <v>0</v>
      </c>
      <c r="R91" s="541">
        <f t="shared" si="131"/>
        <v>0</v>
      </c>
      <c r="S91" s="541">
        <f t="shared" si="131"/>
        <v>0</v>
      </c>
      <c r="T91" s="557">
        <f t="shared" si="131"/>
        <v>0</v>
      </c>
      <c r="U91" s="541">
        <f t="shared" si="131"/>
        <v>0</v>
      </c>
      <c r="V91" s="541">
        <f t="shared" si="131"/>
        <v>0</v>
      </c>
      <c r="W91" s="557">
        <f t="shared" si="131"/>
        <v>0</v>
      </c>
      <c r="X91" s="541">
        <f t="shared" si="131"/>
        <v>0</v>
      </c>
      <c r="Y91" s="541">
        <f t="shared" si="131"/>
        <v>0</v>
      </c>
      <c r="Z91" s="557">
        <f t="shared" si="131"/>
        <v>0</v>
      </c>
      <c r="AA91" s="541">
        <f t="shared" si="131"/>
        <v>0</v>
      </c>
      <c r="AB91" s="541">
        <f t="shared" si="131"/>
        <v>0</v>
      </c>
      <c r="AC91" s="557">
        <f t="shared" si="131"/>
        <v>0</v>
      </c>
      <c r="AD91" s="541">
        <f t="shared" si="131"/>
        <v>0</v>
      </c>
      <c r="AE91" s="541">
        <f t="shared" si="131"/>
        <v>0</v>
      </c>
      <c r="AF91" s="557">
        <f t="shared" si="131"/>
        <v>0</v>
      </c>
      <c r="AG91" s="541">
        <f t="shared" si="131"/>
        <v>0</v>
      </c>
      <c r="AH91" s="541">
        <f t="shared" si="131"/>
        <v>0</v>
      </c>
      <c r="AI91" s="557">
        <f t="shared" si="131"/>
        <v>0</v>
      </c>
      <c r="AJ91" s="541">
        <f t="shared" si="131"/>
        <v>0</v>
      </c>
      <c r="AK91" s="541">
        <f t="shared" si="131"/>
        <v>0</v>
      </c>
      <c r="AL91" s="557">
        <f t="shared" si="131"/>
        <v>0</v>
      </c>
      <c r="AM91" s="541">
        <f t="shared" si="131"/>
        <v>0</v>
      </c>
      <c r="AN91" s="541">
        <f t="shared" si="131"/>
        <v>0</v>
      </c>
      <c r="AO91" s="548">
        <f t="shared" si="131"/>
        <v>0</v>
      </c>
      <c r="AP91" s="543">
        <f>SUM(AP90,AP54)</f>
        <v>0</v>
      </c>
      <c r="AQ91" s="544">
        <f>SUM(AQ90,AQ54)</f>
        <v>0</v>
      </c>
      <c r="AR91" s="545">
        <f>SUM(AR90,AR54)</f>
        <v>0</v>
      </c>
      <c r="AS91"/>
      <c r="AT91" s="546">
        <f>AQ91*$AT$18</f>
        <v>0</v>
      </c>
    </row>
    <row r="92" spans="2:46" ht="25" customHeight="1" outlineLevel="1" thickBot="1" x14ac:dyDescent="0.3">
      <c r="B92" s="442" t="s">
        <v>82</v>
      </c>
      <c r="C92" s="454"/>
      <c r="D92" s="454"/>
      <c r="E92" s="455"/>
      <c r="F92" s="446"/>
      <c r="G92" s="445"/>
      <c r="H92" s="445"/>
      <c r="I92" s="447"/>
      <c r="J92" s="447"/>
      <c r="K92" s="448"/>
      <c r="L92" s="553">
        <f t="shared" ref="L92:AO92" si="132">L36+L72</f>
        <v>18</v>
      </c>
      <c r="M92" s="457">
        <f t="shared" si="132"/>
        <v>1.5</v>
      </c>
      <c r="N92" s="554">
        <f t="shared" si="132"/>
        <v>929348.39999999991</v>
      </c>
      <c r="O92" s="553">
        <f t="shared" si="132"/>
        <v>36</v>
      </c>
      <c r="P92" s="457">
        <f t="shared" si="132"/>
        <v>3</v>
      </c>
      <c r="Q92" s="554">
        <f t="shared" si="132"/>
        <v>1914457.7040000001</v>
      </c>
      <c r="R92" s="553">
        <f t="shared" si="132"/>
        <v>48</v>
      </c>
      <c r="S92" s="457">
        <f t="shared" si="132"/>
        <v>4</v>
      </c>
      <c r="T92" s="554">
        <f t="shared" si="132"/>
        <v>2606678.4039599998</v>
      </c>
      <c r="U92" s="553">
        <f t="shared" si="132"/>
        <v>42</v>
      </c>
      <c r="V92" s="457">
        <f t="shared" si="132"/>
        <v>3.5</v>
      </c>
      <c r="W92" s="554">
        <f t="shared" si="132"/>
        <v>2323185.2448971998</v>
      </c>
      <c r="X92" s="553">
        <f t="shared" si="132"/>
        <v>24</v>
      </c>
      <c r="Y92" s="457">
        <f t="shared" si="132"/>
        <v>2</v>
      </c>
      <c r="Z92" s="554">
        <f t="shared" si="132"/>
        <v>1346890.9904847117</v>
      </c>
      <c r="AA92" s="553">
        <f t="shared" si="132"/>
        <v>12</v>
      </c>
      <c r="AB92" s="457">
        <f t="shared" si="132"/>
        <v>1</v>
      </c>
      <c r="AC92" s="554">
        <f t="shared" si="132"/>
        <v>693648.86009962671</v>
      </c>
      <c r="AD92" s="553">
        <f t="shared" si="132"/>
        <v>0</v>
      </c>
      <c r="AE92" s="457">
        <f t="shared" si="132"/>
        <v>0</v>
      </c>
      <c r="AF92" s="554">
        <f t="shared" si="132"/>
        <v>0</v>
      </c>
      <c r="AG92" s="553">
        <f t="shared" si="132"/>
        <v>0</v>
      </c>
      <c r="AH92" s="457">
        <f t="shared" si="132"/>
        <v>0</v>
      </c>
      <c r="AI92" s="554">
        <f t="shared" si="132"/>
        <v>0</v>
      </c>
      <c r="AJ92" s="553">
        <f t="shared" si="132"/>
        <v>0</v>
      </c>
      <c r="AK92" s="457">
        <f t="shared" si="132"/>
        <v>0</v>
      </c>
      <c r="AL92" s="554">
        <f t="shared" si="132"/>
        <v>0</v>
      </c>
      <c r="AM92" s="553">
        <f t="shared" si="132"/>
        <v>0</v>
      </c>
      <c r="AN92" s="457">
        <f t="shared" si="132"/>
        <v>0</v>
      </c>
      <c r="AO92" s="554">
        <f t="shared" si="132"/>
        <v>0</v>
      </c>
      <c r="AP92" s="456">
        <f>AP36+AP72</f>
        <v>180</v>
      </c>
      <c r="AQ92" s="457">
        <f>AQ36+AQ72</f>
        <v>15</v>
      </c>
      <c r="AR92" s="552">
        <f>AR36+AR72</f>
        <v>9814209.6034415383</v>
      </c>
      <c r="AT92" s="547">
        <f t="shared" si="102"/>
        <v>28860</v>
      </c>
    </row>
    <row r="93" spans="2:46" ht="25" customHeight="1" outlineLevel="1" x14ac:dyDescent="0.2">
      <c r="B93" s="427" t="s">
        <v>83</v>
      </c>
      <c r="C93" s="458"/>
      <c r="D93" s="458"/>
      <c r="E93" s="459"/>
      <c r="F93" s="429"/>
      <c r="G93" s="430"/>
      <c r="H93" s="430"/>
      <c r="I93" s="431"/>
      <c r="J93" s="431"/>
      <c r="K93" s="431"/>
      <c r="L93" s="434"/>
      <c r="M93" s="434"/>
      <c r="N93" s="435"/>
      <c r="O93" s="434"/>
      <c r="P93" s="434"/>
      <c r="Q93" s="435"/>
      <c r="R93" s="434"/>
      <c r="S93" s="434"/>
      <c r="T93" s="435"/>
      <c r="U93" s="434"/>
      <c r="V93" s="434"/>
      <c r="W93" s="435"/>
      <c r="X93" s="434"/>
      <c r="Y93" s="434"/>
      <c r="Z93" s="435"/>
      <c r="AA93" s="434"/>
      <c r="AB93" s="434"/>
      <c r="AC93" s="435"/>
      <c r="AD93" s="434"/>
      <c r="AE93" s="434"/>
      <c r="AF93" s="435"/>
      <c r="AG93" s="434"/>
      <c r="AH93" s="434"/>
      <c r="AI93" s="435"/>
      <c r="AJ93" s="434"/>
      <c r="AK93" s="434"/>
      <c r="AL93" s="435"/>
      <c r="AM93" s="434"/>
      <c r="AN93" s="434"/>
      <c r="AO93" s="435"/>
      <c r="AP93" s="434"/>
      <c r="AQ93" s="434"/>
      <c r="AR93" s="436"/>
    </row>
    <row r="94" spans="2:46" ht="18.75" customHeight="1" outlineLevel="1" x14ac:dyDescent="0.2">
      <c r="B94" s="437"/>
      <c r="C94" s="728" t="s">
        <v>84</v>
      </c>
      <c r="D94" s="729"/>
      <c r="E94" s="729"/>
      <c r="F94" s="1" t="s">
        <v>85</v>
      </c>
      <c r="G94" s="1"/>
      <c r="H94" s="1"/>
      <c r="I94" s="1"/>
      <c r="J94" s="1"/>
      <c r="K94" s="96" t="s">
        <v>86</v>
      </c>
      <c r="L94" s="97"/>
      <c r="M94" s="91"/>
      <c r="N94" s="92" t="s">
        <v>67</v>
      </c>
      <c r="O94" s="91"/>
      <c r="P94" s="91"/>
      <c r="Q94" s="92" t="s">
        <v>67</v>
      </c>
      <c r="R94" s="91"/>
      <c r="S94" s="91"/>
      <c r="T94" s="92" t="s">
        <v>67</v>
      </c>
      <c r="U94" s="91"/>
      <c r="V94" s="91"/>
      <c r="W94" s="92" t="s">
        <v>67</v>
      </c>
      <c r="X94" s="91"/>
      <c r="Y94" s="91"/>
      <c r="Z94" s="93" t="s">
        <v>67</v>
      </c>
      <c r="AA94" s="97"/>
      <c r="AB94" s="91"/>
      <c r="AC94" s="92" t="s">
        <v>67</v>
      </c>
      <c r="AD94" s="91"/>
      <c r="AE94" s="91"/>
      <c r="AF94" s="92" t="s">
        <v>67</v>
      </c>
      <c r="AG94" s="91"/>
      <c r="AH94" s="91"/>
      <c r="AI94" s="92" t="s">
        <v>67</v>
      </c>
      <c r="AJ94" s="91"/>
      <c r="AK94" s="91"/>
      <c r="AL94" s="92" t="s">
        <v>67</v>
      </c>
      <c r="AM94" s="91"/>
      <c r="AN94" s="91"/>
      <c r="AO94" s="93" t="s">
        <v>67</v>
      </c>
      <c r="AP94" s="94"/>
      <c r="AQ94" s="91"/>
      <c r="AR94" s="95" t="s">
        <v>67</v>
      </c>
    </row>
    <row r="95" spans="2:46" ht="15" customHeight="1" outlineLevel="1" x14ac:dyDescent="0.2">
      <c r="B95" s="437"/>
      <c r="C95" s="730" t="s">
        <v>205</v>
      </c>
      <c r="D95" s="731"/>
      <c r="E95" s="732"/>
      <c r="F95" s="725" t="s">
        <v>293</v>
      </c>
      <c r="G95" s="737"/>
      <c r="H95" s="737"/>
      <c r="I95" s="737"/>
      <c r="J95" s="726"/>
      <c r="K95" s="579"/>
      <c r="L95" s="82"/>
      <c r="M95" s="72"/>
      <c r="N95" s="52">
        <v>50000</v>
      </c>
      <c r="O95" s="72"/>
      <c r="P95" s="72"/>
      <c r="Q95" s="52">
        <v>50000</v>
      </c>
      <c r="R95" s="72"/>
      <c r="S95" s="72"/>
      <c r="T95" s="52">
        <v>50000</v>
      </c>
      <c r="U95" s="72"/>
      <c r="V95" s="72"/>
      <c r="W95" s="52"/>
      <c r="X95" s="72"/>
      <c r="Y95" s="72"/>
      <c r="Z95" s="52"/>
      <c r="AA95" s="82"/>
      <c r="AB95" s="72"/>
      <c r="AC95" s="52"/>
      <c r="AD95" s="72"/>
      <c r="AE95" s="72"/>
      <c r="AF95" s="52"/>
      <c r="AG95" s="72"/>
      <c r="AH95" s="72"/>
      <c r="AI95" s="52"/>
      <c r="AJ95" s="72"/>
      <c r="AK95" s="72"/>
      <c r="AL95" s="52"/>
      <c r="AM95" s="72"/>
      <c r="AN95" s="72"/>
      <c r="AO95" s="52"/>
      <c r="AP95" s="71"/>
      <c r="AQ95" s="72"/>
      <c r="AR95" s="81">
        <f>SUM(N95:AO95)</f>
        <v>150000</v>
      </c>
    </row>
    <row r="96" spans="2:46" ht="15" customHeight="1" outlineLevel="1" x14ac:dyDescent="0.2">
      <c r="B96" s="437"/>
      <c r="C96" s="705" t="s">
        <v>235</v>
      </c>
      <c r="D96" s="706"/>
      <c r="E96" s="707"/>
      <c r="F96" s="708" t="s">
        <v>298</v>
      </c>
      <c r="G96" s="709"/>
      <c r="H96" s="709"/>
      <c r="I96" s="709"/>
      <c r="J96" s="710"/>
      <c r="K96" s="579"/>
      <c r="L96" s="82"/>
      <c r="M96" s="72"/>
      <c r="N96" s="52">
        <v>50000</v>
      </c>
      <c r="O96" s="72"/>
      <c r="P96" s="72"/>
      <c r="Q96" s="52">
        <v>50000</v>
      </c>
      <c r="R96" s="72"/>
      <c r="S96" s="72"/>
      <c r="T96" s="52">
        <v>50000</v>
      </c>
      <c r="U96" s="72"/>
      <c r="V96" s="72"/>
      <c r="W96" s="52">
        <v>50000</v>
      </c>
      <c r="X96" s="72"/>
      <c r="Y96" s="72"/>
      <c r="Z96" s="52">
        <v>50000</v>
      </c>
      <c r="AA96" s="82"/>
      <c r="AB96" s="72"/>
      <c r="AC96" s="52">
        <v>50000</v>
      </c>
      <c r="AD96" s="72"/>
      <c r="AE96" s="72"/>
      <c r="AF96" s="52"/>
      <c r="AG96" s="72"/>
      <c r="AH96" s="72"/>
      <c r="AI96" s="52"/>
      <c r="AJ96" s="72"/>
      <c r="AK96" s="72"/>
      <c r="AL96" s="52"/>
      <c r="AM96" s="72"/>
      <c r="AN96" s="72"/>
      <c r="AO96" s="52"/>
      <c r="AP96" s="71"/>
      <c r="AQ96" s="72"/>
      <c r="AR96" s="81">
        <f t="shared" ref="AR96:AR124" si="133">SUM(N96:AO96)</f>
        <v>300000</v>
      </c>
    </row>
    <row r="97" spans="2:44" outlineLevel="1" x14ac:dyDescent="0.2">
      <c r="B97" s="443"/>
      <c r="C97" s="705" t="s">
        <v>253</v>
      </c>
      <c r="D97" s="706"/>
      <c r="E97" s="707"/>
      <c r="F97" s="708" t="s">
        <v>297</v>
      </c>
      <c r="G97" s="709"/>
      <c r="H97" s="709"/>
      <c r="I97" s="709"/>
      <c r="J97" s="710"/>
      <c r="K97" s="579"/>
      <c r="L97" s="82"/>
      <c r="M97" s="72"/>
      <c r="N97" s="52">
        <v>100000</v>
      </c>
      <c r="O97" s="72"/>
      <c r="P97" s="72"/>
      <c r="Q97" s="52">
        <v>100000</v>
      </c>
      <c r="R97" s="72"/>
      <c r="S97" s="72"/>
      <c r="T97" s="52">
        <v>100000</v>
      </c>
      <c r="U97" s="72"/>
      <c r="V97" s="72"/>
      <c r="W97" s="52">
        <v>10000</v>
      </c>
      <c r="X97" s="72"/>
      <c r="Y97" s="72"/>
      <c r="Z97" s="52">
        <v>100000</v>
      </c>
      <c r="AA97" s="82"/>
      <c r="AB97" s="72"/>
      <c r="AC97" s="52">
        <v>90000</v>
      </c>
      <c r="AD97" s="72"/>
      <c r="AE97" s="72"/>
      <c r="AF97" s="52"/>
      <c r="AG97" s="72"/>
      <c r="AH97" s="72"/>
      <c r="AI97" s="52"/>
      <c r="AJ97" s="72"/>
      <c r="AK97" s="72"/>
      <c r="AL97" s="52"/>
      <c r="AM97" s="72"/>
      <c r="AN97" s="72"/>
      <c r="AO97" s="52"/>
      <c r="AP97" s="71"/>
      <c r="AQ97" s="72"/>
      <c r="AR97" s="81">
        <f t="shared" si="133"/>
        <v>500000</v>
      </c>
    </row>
    <row r="98" spans="2:44" outlineLevel="1" x14ac:dyDescent="0.2">
      <c r="B98" s="443"/>
      <c r="C98" s="705" t="s">
        <v>69</v>
      </c>
      <c r="D98" s="706"/>
      <c r="E98" s="707"/>
      <c r="F98" s="708"/>
      <c r="G98" s="709"/>
      <c r="H98" s="709"/>
      <c r="I98" s="709"/>
      <c r="J98" s="710"/>
      <c r="K98" s="579"/>
      <c r="L98" s="82"/>
      <c r="M98" s="72"/>
      <c r="N98" s="52"/>
      <c r="O98" s="72"/>
      <c r="P98" s="72"/>
      <c r="Q98" s="52"/>
      <c r="R98" s="72"/>
      <c r="S98" s="72"/>
      <c r="T98" s="52"/>
      <c r="U98" s="72"/>
      <c r="V98" s="72"/>
      <c r="W98" s="52"/>
      <c r="X98" s="72"/>
      <c r="Y98" s="72"/>
      <c r="Z98" s="53"/>
      <c r="AA98" s="82"/>
      <c r="AB98" s="72"/>
      <c r="AC98" s="52"/>
      <c r="AD98" s="72"/>
      <c r="AE98" s="72"/>
      <c r="AF98" s="52"/>
      <c r="AG98" s="72"/>
      <c r="AH98" s="72"/>
      <c r="AI98" s="52"/>
      <c r="AJ98" s="72"/>
      <c r="AK98" s="72"/>
      <c r="AL98" s="52"/>
      <c r="AM98" s="72"/>
      <c r="AN98" s="72"/>
      <c r="AO98" s="53"/>
      <c r="AP98" s="71"/>
      <c r="AQ98" s="72"/>
      <c r="AR98" s="81">
        <f t="shared" si="133"/>
        <v>0</v>
      </c>
    </row>
    <row r="99" spans="2:44" outlineLevel="1" x14ac:dyDescent="0.2">
      <c r="B99" s="443"/>
      <c r="C99" s="705" t="s">
        <v>69</v>
      </c>
      <c r="D99" s="706"/>
      <c r="E99" s="707"/>
      <c r="F99" s="708"/>
      <c r="G99" s="709"/>
      <c r="H99" s="709"/>
      <c r="I99" s="709"/>
      <c r="J99" s="710"/>
      <c r="K99" s="579"/>
      <c r="L99" s="82"/>
      <c r="M99" s="72"/>
      <c r="N99" s="52"/>
      <c r="O99" s="72"/>
      <c r="P99" s="72"/>
      <c r="Q99" s="52"/>
      <c r="R99" s="72"/>
      <c r="S99" s="72"/>
      <c r="T99" s="52"/>
      <c r="U99" s="72"/>
      <c r="V99" s="72"/>
      <c r="W99" s="52"/>
      <c r="X99" s="72"/>
      <c r="Y99" s="72"/>
      <c r="Z99" s="53"/>
      <c r="AA99" s="82"/>
      <c r="AB99" s="72"/>
      <c r="AC99" s="52"/>
      <c r="AD99" s="72"/>
      <c r="AE99" s="72"/>
      <c r="AF99" s="52"/>
      <c r="AG99" s="72"/>
      <c r="AH99" s="72"/>
      <c r="AI99" s="52"/>
      <c r="AJ99" s="72"/>
      <c r="AK99" s="72"/>
      <c r="AL99" s="52"/>
      <c r="AM99" s="72"/>
      <c r="AN99" s="72"/>
      <c r="AO99" s="53"/>
      <c r="AP99" s="71"/>
      <c r="AQ99" s="72"/>
      <c r="AR99" s="81">
        <f t="shared" si="133"/>
        <v>0</v>
      </c>
    </row>
    <row r="100" spans="2:44" outlineLevel="1" x14ac:dyDescent="0.2">
      <c r="B100" s="443"/>
      <c r="C100" s="705" t="s">
        <v>87</v>
      </c>
      <c r="D100" s="706"/>
      <c r="E100" s="707"/>
      <c r="F100" s="708"/>
      <c r="G100" s="709"/>
      <c r="H100" s="709"/>
      <c r="I100" s="709"/>
      <c r="J100" s="710"/>
      <c r="K100" s="579"/>
      <c r="L100" s="82"/>
      <c r="M100" s="72"/>
      <c r="N100" s="52"/>
      <c r="O100" s="72"/>
      <c r="P100" s="72"/>
      <c r="Q100" s="52"/>
      <c r="R100" s="72"/>
      <c r="S100" s="72"/>
      <c r="T100" s="52"/>
      <c r="U100" s="72"/>
      <c r="V100" s="72"/>
      <c r="W100" s="52"/>
      <c r="X100" s="72"/>
      <c r="Y100" s="72"/>
      <c r="Z100" s="53"/>
      <c r="AA100" s="82"/>
      <c r="AB100" s="72"/>
      <c r="AC100" s="52"/>
      <c r="AD100" s="72"/>
      <c r="AE100" s="72"/>
      <c r="AF100" s="52"/>
      <c r="AG100" s="72"/>
      <c r="AH100" s="72"/>
      <c r="AI100" s="52"/>
      <c r="AJ100" s="72"/>
      <c r="AK100" s="72"/>
      <c r="AL100" s="52"/>
      <c r="AM100" s="72"/>
      <c r="AN100" s="72"/>
      <c r="AO100" s="53"/>
      <c r="AP100" s="71"/>
      <c r="AQ100" s="72"/>
      <c r="AR100" s="81">
        <f t="shared" si="133"/>
        <v>0</v>
      </c>
    </row>
    <row r="101" spans="2:44" outlineLevel="1" x14ac:dyDescent="0.2">
      <c r="B101" s="443"/>
      <c r="C101" s="705" t="s">
        <v>69</v>
      </c>
      <c r="D101" s="706"/>
      <c r="E101" s="707"/>
      <c r="F101" s="708"/>
      <c r="G101" s="709"/>
      <c r="H101" s="709"/>
      <c r="I101" s="709"/>
      <c r="J101" s="710"/>
      <c r="K101" s="579"/>
      <c r="L101" s="82"/>
      <c r="M101" s="72"/>
      <c r="N101" s="52"/>
      <c r="O101" s="72"/>
      <c r="P101" s="72"/>
      <c r="Q101" s="52"/>
      <c r="R101" s="72"/>
      <c r="S101" s="72"/>
      <c r="T101" s="52"/>
      <c r="U101" s="72"/>
      <c r="V101" s="72"/>
      <c r="W101" s="52"/>
      <c r="X101" s="72"/>
      <c r="Y101" s="72"/>
      <c r="Z101" s="53"/>
      <c r="AA101" s="82"/>
      <c r="AB101" s="72"/>
      <c r="AC101" s="52"/>
      <c r="AD101" s="72"/>
      <c r="AE101" s="72"/>
      <c r="AF101" s="52"/>
      <c r="AG101" s="72"/>
      <c r="AH101" s="72"/>
      <c r="AI101" s="52"/>
      <c r="AJ101" s="72"/>
      <c r="AK101" s="72"/>
      <c r="AL101" s="52"/>
      <c r="AM101" s="72"/>
      <c r="AN101" s="72"/>
      <c r="AO101" s="53"/>
      <c r="AP101" s="71"/>
      <c r="AQ101" s="72"/>
      <c r="AR101" s="81">
        <f t="shared" si="133"/>
        <v>0</v>
      </c>
    </row>
    <row r="102" spans="2:44" outlineLevel="1" x14ac:dyDescent="0.2">
      <c r="B102" s="443"/>
      <c r="C102" s="705" t="s">
        <v>69</v>
      </c>
      <c r="D102" s="706"/>
      <c r="E102" s="707"/>
      <c r="F102" s="708"/>
      <c r="G102" s="709"/>
      <c r="H102" s="709"/>
      <c r="I102" s="709"/>
      <c r="J102" s="710"/>
      <c r="K102" s="579"/>
      <c r="L102" s="82"/>
      <c r="M102" s="72"/>
      <c r="N102" s="52"/>
      <c r="O102" s="72"/>
      <c r="P102" s="72"/>
      <c r="Q102" s="52"/>
      <c r="R102" s="72"/>
      <c r="S102" s="72"/>
      <c r="T102" s="52"/>
      <c r="U102" s="72"/>
      <c r="V102" s="72"/>
      <c r="W102" s="52"/>
      <c r="X102" s="72"/>
      <c r="Y102" s="72"/>
      <c r="Z102" s="53"/>
      <c r="AA102" s="82"/>
      <c r="AB102" s="72"/>
      <c r="AC102" s="52"/>
      <c r="AD102" s="72"/>
      <c r="AE102" s="72"/>
      <c r="AF102" s="52"/>
      <c r="AG102" s="72"/>
      <c r="AH102" s="72"/>
      <c r="AI102" s="52"/>
      <c r="AJ102" s="72"/>
      <c r="AK102" s="72"/>
      <c r="AL102" s="52"/>
      <c r="AM102" s="72"/>
      <c r="AN102" s="72"/>
      <c r="AO102" s="53"/>
      <c r="AP102" s="71"/>
      <c r="AQ102" s="72"/>
      <c r="AR102" s="81">
        <f t="shared" si="133"/>
        <v>0</v>
      </c>
    </row>
    <row r="103" spans="2:44" outlineLevel="1" x14ac:dyDescent="0.2">
      <c r="B103" s="443"/>
      <c r="C103" s="705" t="s">
        <v>69</v>
      </c>
      <c r="D103" s="706"/>
      <c r="E103" s="707"/>
      <c r="F103" s="708"/>
      <c r="G103" s="709"/>
      <c r="H103" s="709"/>
      <c r="I103" s="709"/>
      <c r="J103" s="710"/>
      <c r="K103" s="579"/>
      <c r="L103" s="82"/>
      <c r="M103" s="72"/>
      <c r="N103" s="52"/>
      <c r="O103" s="72"/>
      <c r="P103" s="72"/>
      <c r="Q103" s="52"/>
      <c r="R103" s="72"/>
      <c r="S103" s="72"/>
      <c r="T103" s="52"/>
      <c r="U103" s="72"/>
      <c r="V103" s="72"/>
      <c r="W103" s="52"/>
      <c r="X103" s="72"/>
      <c r="Y103" s="72"/>
      <c r="Z103" s="53"/>
      <c r="AA103" s="82"/>
      <c r="AB103" s="72"/>
      <c r="AC103" s="52"/>
      <c r="AD103" s="72"/>
      <c r="AE103" s="72"/>
      <c r="AF103" s="52"/>
      <c r="AG103" s="72"/>
      <c r="AH103" s="72"/>
      <c r="AI103" s="52"/>
      <c r="AJ103" s="72"/>
      <c r="AK103" s="72"/>
      <c r="AL103" s="52"/>
      <c r="AM103" s="72"/>
      <c r="AN103" s="72"/>
      <c r="AO103" s="53"/>
      <c r="AP103" s="71"/>
      <c r="AQ103" s="72"/>
      <c r="AR103" s="81">
        <f t="shared" si="133"/>
        <v>0</v>
      </c>
    </row>
    <row r="104" spans="2:44" outlineLevel="1" x14ac:dyDescent="0.2">
      <c r="B104" s="443"/>
      <c r="C104" s="705" t="s">
        <v>69</v>
      </c>
      <c r="D104" s="706"/>
      <c r="E104" s="707"/>
      <c r="F104" s="708"/>
      <c r="G104" s="709"/>
      <c r="H104" s="709"/>
      <c r="I104" s="709"/>
      <c r="J104" s="710"/>
      <c r="K104" s="579"/>
      <c r="L104" s="82"/>
      <c r="M104" s="72"/>
      <c r="N104" s="52"/>
      <c r="O104" s="72"/>
      <c r="P104" s="72"/>
      <c r="Q104" s="52"/>
      <c r="R104" s="72"/>
      <c r="S104" s="72"/>
      <c r="T104" s="52"/>
      <c r="U104" s="72"/>
      <c r="V104" s="72"/>
      <c r="W104" s="52"/>
      <c r="X104" s="72"/>
      <c r="Y104" s="72"/>
      <c r="Z104" s="53"/>
      <c r="AA104" s="82"/>
      <c r="AB104" s="72"/>
      <c r="AC104" s="52"/>
      <c r="AD104" s="72"/>
      <c r="AE104" s="72"/>
      <c r="AF104" s="52"/>
      <c r="AG104" s="72"/>
      <c r="AH104" s="72"/>
      <c r="AI104" s="52"/>
      <c r="AJ104" s="72"/>
      <c r="AK104" s="72"/>
      <c r="AL104" s="52"/>
      <c r="AM104" s="72"/>
      <c r="AN104" s="72"/>
      <c r="AO104" s="53"/>
      <c r="AP104" s="71"/>
      <c r="AQ104" s="72"/>
      <c r="AR104" s="81">
        <f t="shared" si="133"/>
        <v>0</v>
      </c>
    </row>
    <row r="105" spans="2:44" ht="15" hidden="1" customHeight="1" outlineLevel="2" x14ac:dyDescent="0.2">
      <c r="B105" s="443"/>
      <c r="C105" s="705" t="s">
        <v>69</v>
      </c>
      <c r="D105" s="706"/>
      <c r="E105" s="707"/>
      <c r="F105" s="708"/>
      <c r="G105" s="709"/>
      <c r="H105" s="709"/>
      <c r="I105" s="709"/>
      <c r="J105" s="710"/>
      <c r="K105" s="579"/>
      <c r="L105" s="82"/>
      <c r="M105" s="72"/>
      <c r="N105" s="52"/>
      <c r="O105" s="72"/>
      <c r="P105" s="72"/>
      <c r="Q105" s="52"/>
      <c r="R105" s="72"/>
      <c r="S105" s="72"/>
      <c r="T105" s="52"/>
      <c r="U105" s="72"/>
      <c r="V105" s="72"/>
      <c r="W105" s="52"/>
      <c r="X105" s="72"/>
      <c r="Y105" s="72"/>
      <c r="Z105" s="53"/>
      <c r="AA105" s="82"/>
      <c r="AB105" s="72"/>
      <c r="AC105" s="52"/>
      <c r="AD105" s="72"/>
      <c r="AE105" s="72"/>
      <c r="AF105" s="52"/>
      <c r="AG105" s="72"/>
      <c r="AH105" s="72"/>
      <c r="AI105" s="52"/>
      <c r="AJ105" s="72"/>
      <c r="AK105" s="72"/>
      <c r="AL105" s="52"/>
      <c r="AM105" s="72"/>
      <c r="AN105" s="72"/>
      <c r="AO105" s="53"/>
      <c r="AP105" s="71"/>
      <c r="AQ105" s="72"/>
      <c r="AR105" s="81">
        <f t="shared" ref="AR105:AR113" si="134">SUM(N105:AO105)</f>
        <v>0</v>
      </c>
    </row>
    <row r="106" spans="2:44" ht="15" hidden="1" customHeight="1" outlineLevel="2" x14ac:dyDescent="0.2">
      <c r="B106" s="443"/>
      <c r="C106" s="705" t="s">
        <v>69</v>
      </c>
      <c r="D106" s="706"/>
      <c r="E106" s="707"/>
      <c r="F106" s="708"/>
      <c r="G106" s="709"/>
      <c r="H106" s="709"/>
      <c r="I106" s="709"/>
      <c r="J106" s="710"/>
      <c r="K106" s="579"/>
      <c r="L106" s="82"/>
      <c r="M106" s="72"/>
      <c r="N106" s="52"/>
      <c r="O106" s="72"/>
      <c r="P106" s="72"/>
      <c r="Q106" s="52"/>
      <c r="R106" s="72"/>
      <c r="S106" s="72"/>
      <c r="T106" s="52"/>
      <c r="U106" s="72"/>
      <c r="V106" s="72"/>
      <c r="W106" s="52"/>
      <c r="X106" s="72"/>
      <c r="Y106" s="72"/>
      <c r="Z106" s="53"/>
      <c r="AA106" s="82"/>
      <c r="AB106" s="72"/>
      <c r="AC106" s="52"/>
      <c r="AD106" s="72"/>
      <c r="AE106" s="72"/>
      <c r="AF106" s="52"/>
      <c r="AG106" s="72"/>
      <c r="AH106" s="72"/>
      <c r="AI106" s="52"/>
      <c r="AJ106" s="72"/>
      <c r="AK106" s="72"/>
      <c r="AL106" s="52"/>
      <c r="AM106" s="72"/>
      <c r="AN106" s="72"/>
      <c r="AO106" s="53"/>
      <c r="AP106" s="71"/>
      <c r="AQ106" s="72"/>
      <c r="AR106" s="81">
        <f t="shared" si="134"/>
        <v>0</v>
      </c>
    </row>
    <row r="107" spans="2:44" ht="15" hidden="1" customHeight="1" outlineLevel="2" x14ac:dyDescent="0.2">
      <c r="B107" s="443"/>
      <c r="C107" s="705" t="s">
        <v>69</v>
      </c>
      <c r="D107" s="706"/>
      <c r="E107" s="707"/>
      <c r="F107" s="708"/>
      <c r="G107" s="709"/>
      <c r="H107" s="709"/>
      <c r="I107" s="709"/>
      <c r="J107" s="710"/>
      <c r="K107" s="579"/>
      <c r="L107" s="82"/>
      <c r="M107" s="72"/>
      <c r="N107" s="52"/>
      <c r="O107" s="72"/>
      <c r="P107" s="72"/>
      <c r="Q107" s="52"/>
      <c r="R107" s="72"/>
      <c r="S107" s="72"/>
      <c r="T107" s="52"/>
      <c r="U107" s="72"/>
      <c r="V107" s="72"/>
      <c r="W107" s="52"/>
      <c r="X107" s="72"/>
      <c r="Y107" s="72"/>
      <c r="Z107" s="53"/>
      <c r="AA107" s="82"/>
      <c r="AB107" s="72"/>
      <c r="AC107" s="52"/>
      <c r="AD107" s="72"/>
      <c r="AE107" s="72"/>
      <c r="AF107" s="52"/>
      <c r="AG107" s="72"/>
      <c r="AH107" s="72"/>
      <c r="AI107" s="52"/>
      <c r="AJ107" s="72"/>
      <c r="AK107" s="72"/>
      <c r="AL107" s="52"/>
      <c r="AM107" s="72"/>
      <c r="AN107" s="72"/>
      <c r="AO107" s="53"/>
      <c r="AP107" s="71"/>
      <c r="AQ107" s="72"/>
      <c r="AR107" s="81">
        <f t="shared" si="134"/>
        <v>0</v>
      </c>
    </row>
    <row r="108" spans="2:44" ht="15" hidden="1" customHeight="1" outlineLevel="2" x14ac:dyDescent="0.2">
      <c r="B108" s="443"/>
      <c r="C108" s="705" t="s">
        <v>69</v>
      </c>
      <c r="D108" s="706"/>
      <c r="E108" s="707"/>
      <c r="F108" s="708"/>
      <c r="G108" s="709"/>
      <c r="H108" s="709"/>
      <c r="I108" s="709"/>
      <c r="J108" s="710"/>
      <c r="K108" s="579"/>
      <c r="L108" s="82"/>
      <c r="M108" s="72"/>
      <c r="N108" s="52"/>
      <c r="O108" s="72"/>
      <c r="P108" s="72"/>
      <c r="Q108" s="52"/>
      <c r="R108" s="72"/>
      <c r="S108" s="72"/>
      <c r="T108" s="52"/>
      <c r="U108" s="72"/>
      <c r="V108" s="72"/>
      <c r="W108" s="52"/>
      <c r="X108" s="72"/>
      <c r="Y108" s="72"/>
      <c r="Z108" s="53"/>
      <c r="AA108" s="82"/>
      <c r="AB108" s="72"/>
      <c r="AC108" s="52"/>
      <c r="AD108" s="72"/>
      <c r="AE108" s="72"/>
      <c r="AF108" s="52"/>
      <c r="AG108" s="72"/>
      <c r="AH108" s="72"/>
      <c r="AI108" s="52"/>
      <c r="AJ108" s="72"/>
      <c r="AK108" s="72"/>
      <c r="AL108" s="52"/>
      <c r="AM108" s="72"/>
      <c r="AN108" s="72"/>
      <c r="AO108" s="53"/>
      <c r="AP108" s="71"/>
      <c r="AQ108" s="72"/>
      <c r="AR108" s="81">
        <f t="shared" si="134"/>
        <v>0</v>
      </c>
    </row>
    <row r="109" spans="2:44" ht="15" hidden="1" customHeight="1" outlineLevel="2" x14ac:dyDescent="0.2">
      <c r="B109" s="443"/>
      <c r="C109" s="705" t="s">
        <v>69</v>
      </c>
      <c r="D109" s="706"/>
      <c r="E109" s="707"/>
      <c r="F109" s="708"/>
      <c r="G109" s="709"/>
      <c r="H109" s="709"/>
      <c r="I109" s="709"/>
      <c r="J109" s="710"/>
      <c r="K109" s="579"/>
      <c r="L109" s="82"/>
      <c r="M109" s="72"/>
      <c r="N109" s="52"/>
      <c r="O109" s="72"/>
      <c r="P109" s="72"/>
      <c r="Q109" s="52"/>
      <c r="R109" s="72"/>
      <c r="S109" s="72"/>
      <c r="T109" s="52"/>
      <c r="U109" s="72"/>
      <c r="V109" s="72"/>
      <c r="W109" s="52"/>
      <c r="X109" s="72"/>
      <c r="Y109" s="72"/>
      <c r="Z109" s="53"/>
      <c r="AA109" s="82"/>
      <c r="AB109" s="72"/>
      <c r="AC109" s="52"/>
      <c r="AD109" s="72"/>
      <c r="AE109" s="72"/>
      <c r="AF109" s="52"/>
      <c r="AG109" s="72"/>
      <c r="AH109" s="72"/>
      <c r="AI109" s="52"/>
      <c r="AJ109" s="72"/>
      <c r="AK109" s="72"/>
      <c r="AL109" s="52"/>
      <c r="AM109" s="72"/>
      <c r="AN109" s="72"/>
      <c r="AO109" s="53"/>
      <c r="AP109" s="71"/>
      <c r="AQ109" s="72"/>
      <c r="AR109" s="81">
        <f t="shared" si="134"/>
        <v>0</v>
      </c>
    </row>
    <row r="110" spans="2:44" ht="15" hidden="1" customHeight="1" outlineLevel="2" x14ac:dyDescent="0.2">
      <c r="B110" s="443"/>
      <c r="C110" s="705" t="s">
        <v>69</v>
      </c>
      <c r="D110" s="706"/>
      <c r="E110" s="707"/>
      <c r="F110" s="708"/>
      <c r="G110" s="709"/>
      <c r="H110" s="709"/>
      <c r="I110" s="709"/>
      <c r="J110" s="710"/>
      <c r="K110" s="579"/>
      <c r="L110" s="82"/>
      <c r="M110" s="72"/>
      <c r="N110" s="52"/>
      <c r="O110" s="72"/>
      <c r="P110" s="72"/>
      <c r="Q110" s="52"/>
      <c r="R110" s="72"/>
      <c r="S110" s="72"/>
      <c r="T110" s="52"/>
      <c r="U110" s="72"/>
      <c r="V110" s="72"/>
      <c r="W110" s="52"/>
      <c r="X110" s="72"/>
      <c r="Y110" s="72"/>
      <c r="Z110" s="53"/>
      <c r="AA110" s="82"/>
      <c r="AB110" s="72"/>
      <c r="AC110" s="52"/>
      <c r="AD110" s="72"/>
      <c r="AE110" s="72"/>
      <c r="AF110" s="52"/>
      <c r="AG110" s="72"/>
      <c r="AH110" s="72"/>
      <c r="AI110" s="52"/>
      <c r="AJ110" s="72"/>
      <c r="AK110" s="72"/>
      <c r="AL110" s="52"/>
      <c r="AM110" s="72"/>
      <c r="AN110" s="72"/>
      <c r="AO110" s="53"/>
      <c r="AP110" s="71"/>
      <c r="AQ110" s="72"/>
      <c r="AR110" s="81">
        <f t="shared" si="134"/>
        <v>0</v>
      </c>
    </row>
    <row r="111" spans="2:44" outlineLevel="1" collapsed="1" x14ac:dyDescent="0.2">
      <c r="B111" s="443"/>
      <c r="C111" s="735" t="s">
        <v>88</v>
      </c>
      <c r="D111" s="736"/>
      <c r="E111" s="736"/>
      <c r="F111" s="1" t="s">
        <v>85</v>
      </c>
      <c r="G111" s="1"/>
      <c r="H111" s="1"/>
      <c r="I111" s="1"/>
      <c r="J111" s="1"/>
      <c r="K111" s="675"/>
      <c r="L111" s="628"/>
      <c r="M111" s="628"/>
      <c r="N111" s="628"/>
      <c r="O111" s="628"/>
      <c r="P111" s="628"/>
      <c r="Q111" s="628"/>
      <c r="R111" s="628"/>
      <c r="S111" s="628"/>
      <c r="T111" s="628"/>
      <c r="U111" s="628"/>
      <c r="V111" s="628"/>
      <c r="W111" s="628"/>
      <c r="X111" s="628"/>
      <c r="Y111" s="628"/>
      <c r="Z111" s="628"/>
      <c r="AA111" s="628"/>
      <c r="AB111" s="628"/>
      <c r="AC111" s="628"/>
      <c r="AD111" s="628"/>
      <c r="AE111" s="628"/>
      <c r="AF111" s="628"/>
      <c r="AG111" s="628"/>
      <c r="AH111" s="628"/>
      <c r="AI111" s="628"/>
      <c r="AJ111" s="628"/>
      <c r="AK111" s="628"/>
      <c r="AL111" s="628"/>
      <c r="AM111" s="628"/>
      <c r="AN111" s="628"/>
      <c r="AO111" s="628"/>
      <c r="AP111" s="628"/>
      <c r="AQ111" s="628"/>
      <c r="AR111" s="629"/>
    </row>
    <row r="112" spans="2:44" ht="15" customHeight="1" outlineLevel="1" x14ac:dyDescent="0.2">
      <c r="B112" s="443"/>
      <c r="C112" s="705" t="s">
        <v>223</v>
      </c>
      <c r="D112" s="706"/>
      <c r="E112" s="707"/>
      <c r="F112" s="708"/>
      <c r="G112" s="709"/>
      <c r="H112" s="709"/>
      <c r="I112" s="709"/>
      <c r="J112" s="710"/>
      <c r="K112" s="579"/>
      <c r="L112" s="82"/>
      <c r="M112" s="72"/>
      <c r="N112" s="52">
        <v>15000</v>
      </c>
      <c r="O112" s="72"/>
      <c r="P112" s="72"/>
      <c r="Q112" s="52">
        <v>15000</v>
      </c>
      <c r="R112" s="72"/>
      <c r="S112" s="72"/>
      <c r="T112" s="52">
        <v>15000</v>
      </c>
      <c r="U112" s="72"/>
      <c r="V112" s="72"/>
      <c r="W112" s="52">
        <v>15000</v>
      </c>
      <c r="X112" s="72"/>
      <c r="Y112" s="72"/>
      <c r="Z112" s="53">
        <v>15000</v>
      </c>
      <c r="AA112" s="82"/>
      <c r="AB112" s="72"/>
      <c r="AC112" s="52">
        <v>5000</v>
      </c>
      <c r="AD112" s="72"/>
      <c r="AE112" s="72"/>
      <c r="AF112" s="52"/>
      <c r="AG112" s="72"/>
      <c r="AH112" s="72"/>
      <c r="AI112" s="52"/>
      <c r="AJ112" s="72"/>
      <c r="AK112" s="72"/>
      <c r="AL112" s="52"/>
      <c r="AM112" s="72"/>
      <c r="AN112" s="72"/>
      <c r="AO112" s="53"/>
      <c r="AP112" s="71"/>
      <c r="AQ112" s="72"/>
      <c r="AR112" s="81">
        <f t="shared" si="134"/>
        <v>80000</v>
      </c>
    </row>
    <row r="113" spans="2:44" outlineLevel="1" x14ac:dyDescent="0.2">
      <c r="B113" s="443"/>
      <c r="C113" s="705" t="s">
        <v>277</v>
      </c>
      <c r="D113" s="706"/>
      <c r="E113" s="707"/>
      <c r="F113" s="708"/>
      <c r="G113" s="709"/>
      <c r="H113" s="709"/>
      <c r="I113" s="709"/>
      <c r="J113" s="710"/>
      <c r="K113" s="579"/>
      <c r="L113" s="82"/>
      <c r="M113" s="72"/>
      <c r="N113" s="52">
        <v>20000</v>
      </c>
      <c r="O113" s="72"/>
      <c r="P113" s="72"/>
      <c r="Q113" s="52">
        <v>20000</v>
      </c>
      <c r="R113" s="72"/>
      <c r="S113" s="72"/>
      <c r="T113" s="52">
        <v>20000</v>
      </c>
      <c r="U113" s="72"/>
      <c r="V113" s="72"/>
      <c r="W113" s="52">
        <v>20000</v>
      </c>
      <c r="X113" s="72"/>
      <c r="Y113" s="72"/>
      <c r="Z113" s="53">
        <v>20000</v>
      </c>
      <c r="AA113" s="82"/>
      <c r="AB113" s="72"/>
      <c r="AC113" s="52">
        <v>20000</v>
      </c>
      <c r="AD113" s="72"/>
      <c r="AE113" s="72"/>
      <c r="AF113" s="52"/>
      <c r="AG113" s="72"/>
      <c r="AH113" s="72"/>
      <c r="AI113" s="52"/>
      <c r="AJ113" s="72"/>
      <c r="AK113" s="72"/>
      <c r="AL113" s="52"/>
      <c r="AM113" s="72"/>
      <c r="AN113" s="72"/>
      <c r="AO113" s="53"/>
      <c r="AP113" s="71"/>
      <c r="AQ113" s="72"/>
      <c r="AR113" s="81">
        <f t="shared" si="134"/>
        <v>120000</v>
      </c>
    </row>
    <row r="114" spans="2:44" outlineLevel="1" x14ac:dyDescent="0.2">
      <c r="B114" s="443"/>
      <c r="C114" s="705" t="s">
        <v>274</v>
      </c>
      <c r="D114" s="706"/>
      <c r="E114" s="707"/>
      <c r="F114" s="708"/>
      <c r="G114" s="709"/>
      <c r="H114" s="709"/>
      <c r="I114" s="709"/>
      <c r="J114" s="710"/>
      <c r="K114" s="579"/>
      <c r="L114" s="82"/>
      <c r="M114" s="72"/>
      <c r="N114" s="52"/>
      <c r="O114" s="72"/>
      <c r="P114" s="72"/>
      <c r="Q114" s="52">
        <v>25000</v>
      </c>
      <c r="R114" s="72"/>
      <c r="S114" s="72"/>
      <c r="T114" s="52">
        <v>25000</v>
      </c>
      <c r="U114" s="72"/>
      <c r="V114" s="72"/>
      <c r="W114" s="52">
        <v>25000</v>
      </c>
      <c r="X114" s="72"/>
      <c r="Y114" s="72"/>
      <c r="Z114" s="53">
        <v>25000</v>
      </c>
      <c r="AA114" s="82"/>
      <c r="AB114" s="72"/>
      <c r="AC114" s="52">
        <v>25000</v>
      </c>
      <c r="AD114" s="72"/>
      <c r="AE114" s="72"/>
      <c r="AF114" s="52"/>
      <c r="AG114" s="72"/>
      <c r="AH114" s="72"/>
      <c r="AI114" s="52"/>
      <c r="AJ114" s="72"/>
      <c r="AK114" s="72"/>
      <c r="AL114" s="52"/>
      <c r="AM114" s="72"/>
      <c r="AN114" s="72"/>
      <c r="AO114" s="53"/>
      <c r="AP114" s="71"/>
      <c r="AQ114" s="72"/>
      <c r="AR114" s="81">
        <f t="shared" ref="AR114" si="135">SUM(N114:AO114)</f>
        <v>125000</v>
      </c>
    </row>
    <row r="115" spans="2:44" outlineLevel="2" x14ac:dyDescent="0.2">
      <c r="B115" s="443"/>
      <c r="C115" s="705" t="s">
        <v>277</v>
      </c>
      <c r="D115" s="706"/>
      <c r="E115" s="707"/>
      <c r="F115" s="708" t="s">
        <v>296</v>
      </c>
      <c r="G115" s="709"/>
      <c r="H115" s="709"/>
      <c r="I115" s="709"/>
      <c r="J115" s="710"/>
      <c r="K115" s="579"/>
      <c r="L115" s="82"/>
      <c r="M115" s="72"/>
      <c r="N115" s="52"/>
      <c r="O115" s="72"/>
      <c r="P115" s="72"/>
      <c r="Q115" s="52"/>
      <c r="R115" s="72"/>
      <c r="S115" s="72"/>
      <c r="T115" s="52">
        <v>30000</v>
      </c>
      <c r="U115" s="72"/>
      <c r="V115" s="72"/>
      <c r="W115" s="52"/>
      <c r="X115" s="72"/>
      <c r="Y115" s="72"/>
      <c r="Z115" s="53">
        <v>30000</v>
      </c>
      <c r="AA115" s="82"/>
      <c r="AB115" s="72"/>
      <c r="AC115" s="52"/>
      <c r="AD115" s="72"/>
      <c r="AE115" s="72"/>
      <c r="AF115" s="52"/>
      <c r="AG115" s="72"/>
      <c r="AH115" s="72"/>
      <c r="AI115" s="52"/>
      <c r="AJ115" s="72"/>
      <c r="AK115" s="72"/>
      <c r="AL115" s="52"/>
      <c r="AM115" s="72"/>
      <c r="AN115" s="72"/>
      <c r="AO115" s="53"/>
      <c r="AP115" s="71"/>
      <c r="AQ115" s="72"/>
      <c r="AR115" s="81">
        <f t="shared" ref="AR115:AR118" si="136">SUM(N115:AO115)</f>
        <v>60000</v>
      </c>
    </row>
    <row r="116" spans="2:44" outlineLevel="2" x14ac:dyDescent="0.2">
      <c r="B116" s="443"/>
      <c r="C116" s="705" t="s">
        <v>69</v>
      </c>
      <c r="D116" s="706"/>
      <c r="E116" s="707"/>
      <c r="F116" s="708"/>
      <c r="G116" s="709"/>
      <c r="H116" s="709"/>
      <c r="I116" s="709"/>
      <c r="J116" s="710"/>
      <c r="K116" s="579"/>
      <c r="L116" s="82"/>
      <c r="M116" s="72"/>
      <c r="N116" s="52"/>
      <c r="O116" s="72"/>
      <c r="P116" s="72"/>
      <c r="Q116" s="52"/>
      <c r="R116" s="72"/>
      <c r="S116" s="72"/>
      <c r="T116" s="52"/>
      <c r="U116" s="72"/>
      <c r="V116" s="72"/>
      <c r="W116" s="52"/>
      <c r="X116" s="72"/>
      <c r="Y116" s="72"/>
      <c r="Z116" s="53"/>
      <c r="AA116" s="82"/>
      <c r="AB116" s="72"/>
      <c r="AC116" s="52"/>
      <c r="AD116" s="72"/>
      <c r="AE116" s="72"/>
      <c r="AF116" s="52"/>
      <c r="AG116" s="72"/>
      <c r="AH116" s="72"/>
      <c r="AI116" s="52"/>
      <c r="AJ116" s="72"/>
      <c r="AK116" s="72"/>
      <c r="AL116" s="52"/>
      <c r="AM116" s="72"/>
      <c r="AN116" s="72"/>
      <c r="AO116" s="53"/>
      <c r="AP116" s="71"/>
      <c r="AQ116" s="72"/>
      <c r="AR116" s="81">
        <f t="shared" si="136"/>
        <v>0</v>
      </c>
    </row>
    <row r="117" spans="2:44" outlineLevel="2" x14ac:dyDescent="0.2">
      <c r="B117" s="443"/>
      <c r="C117" s="705" t="s">
        <v>69</v>
      </c>
      <c r="D117" s="706"/>
      <c r="E117" s="707"/>
      <c r="F117" s="708"/>
      <c r="G117" s="709"/>
      <c r="H117" s="709"/>
      <c r="I117" s="709"/>
      <c r="J117" s="710"/>
      <c r="K117" s="579"/>
      <c r="L117" s="82"/>
      <c r="M117" s="72"/>
      <c r="N117" s="52"/>
      <c r="O117" s="72"/>
      <c r="P117" s="72"/>
      <c r="Q117" s="52"/>
      <c r="R117" s="72"/>
      <c r="S117" s="72"/>
      <c r="T117" s="52"/>
      <c r="U117" s="72"/>
      <c r="V117" s="72"/>
      <c r="W117" s="52"/>
      <c r="X117" s="72"/>
      <c r="Y117" s="72"/>
      <c r="Z117" s="53"/>
      <c r="AA117" s="82"/>
      <c r="AB117" s="72"/>
      <c r="AC117" s="52"/>
      <c r="AD117" s="72"/>
      <c r="AE117" s="72"/>
      <c r="AF117" s="52"/>
      <c r="AG117" s="72"/>
      <c r="AH117" s="72"/>
      <c r="AI117" s="52"/>
      <c r="AJ117" s="72"/>
      <c r="AK117" s="72"/>
      <c r="AL117" s="52"/>
      <c r="AM117" s="72"/>
      <c r="AN117" s="72"/>
      <c r="AO117" s="53"/>
      <c r="AP117" s="71"/>
      <c r="AQ117" s="72"/>
      <c r="AR117" s="81">
        <f t="shared" si="136"/>
        <v>0</v>
      </c>
    </row>
    <row r="118" spans="2:44" outlineLevel="2" x14ac:dyDescent="0.2">
      <c r="B118" s="443"/>
      <c r="C118" s="705" t="s">
        <v>69</v>
      </c>
      <c r="D118" s="706"/>
      <c r="E118" s="707"/>
      <c r="F118" s="702"/>
      <c r="G118" s="703"/>
      <c r="H118" s="703"/>
      <c r="I118" s="703"/>
      <c r="J118" s="704"/>
      <c r="K118" s="579"/>
      <c r="L118" s="82"/>
      <c r="M118" s="72"/>
      <c r="N118" s="52"/>
      <c r="O118" s="72"/>
      <c r="P118" s="72"/>
      <c r="Q118" s="52"/>
      <c r="R118" s="72"/>
      <c r="S118" s="72"/>
      <c r="T118" s="52"/>
      <c r="U118" s="72"/>
      <c r="V118" s="72"/>
      <c r="W118" s="52"/>
      <c r="X118" s="72"/>
      <c r="Y118" s="72"/>
      <c r="Z118" s="53"/>
      <c r="AA118" s="82"/>
      <c r="AB118" s="72"/>
      <c r="AC118" s="52"/>
      <c r="AD118" s="72"/>
      <c r="AE118" s="72"/>
      <c r="AF118" s="52"/>
      <c r="AG118" s="72"/>
      <c r="AH118" s="72"/>
      <c r="AI118" s="52"/>
      <c r="AJ118" s="72"/>
      <c r="AK118" s="72"/>
      <c r="AL118" s="52"/>
      <c r="AM118" s="72"/>
      <c r="AN118" s="72"/>
      <c r="AO118" s="53"/>
      <c r="AP118" s="71"/>
      <c r="AQ118" s="72"/>
      <c r="AR118" s="81">
        <f t="shared" si="136"/>
        <v>0</v>
      </c>
    </row>
    <row r="119" spans="2:44" ht="16" outlineLevel="1" x14ac:dyDescent="0.2">
      <c r="B119" s="443"/>
      <c r="C119" s="623" t="s">
        <v>89</v>
      </c>
      <c r="D119" s="622" t="s">
        <v>90</v>
      </c>
      <c r="E119" s="594" t="s">
        <v>91</v>
      </c>
      <c r="F119" s="702"/>
      <c r="G119" s="703"/>
      <c r="H119" s="703"/>
      <c r="I119" s="703"/>
      <c r="J119" s="704"/>
      <c r="K119" s="579"/>
      <c r="L119" s="82"/>
      <c r="M119" s="72"/>
      <c r="N119" s="612">
        <f>IFERROR(IF($E$119&lt;&gt;"No",(SUMIF($C$20:$C$35,PhD_navn,M$20:M$35)*TuitionFeePartner1)+(SUMIF($C$20:$C$35,"PhD Student 4+4 Part A*",M$20:M$35)*(TuitionFeePartner1/2))+(SUMIF($C$20:$C$35,"PhD student 4+4 Part B*",M$20:M$35)*TuitionFeePartner1),0),0)</f>
        <v>40000</v>
      </c>
      <c r="O119" s="82"/>
      <c r="P119" s="72"/>
      <c r="Q119" s="612">
        <f>IFERROR(IF($E$119&lt;&gt;"No",(SUMIF($C$20:$C$35,PhD_navn,P$20:P$35)*TuitionFeePartner1)+(SUMIF($C$20:$C$35,"PhD Student 4+4 Part A*",P$20:P$35)*(TuitionFeePartner1/2))+(SUMIF($C$20:$C$35,"PhD student 4+4 Part B*",P$20:P$35)*TuitionFeePartner1),0),0)</f>
        <v>80000</v>
      </c>
      <c r="R119" s="82"/>
      <c r="S119" s="72"/>
      <c r="T119" s="612">
        <f>IFERROR(IF($E$119&lt;&gt;"No",(SUMIF($C$20:$C$35,PhD_navn,S$20:S$35)*TuitionFeePartner1)+(SUMIF($C$20:$C$35,"PhD Student 4+4 Part A*",S$20:S$35)*(TuitionFeePartner1/2))+(SUMIF($C$20:$C$35,"PhD student 4+4 Part B*",S$20:S$35)*TuitionFeePartner1),0),0)</f>
        <v>120000</v>
      </c>
      <c r="U119" s="82"/>
      <c r="V119" s="72"/>
      <c r="W119" s="612">
        <f>IFERROR(IF($E$119&lt;&gt;"No",(SUMIF($C$20:$C$35,PhD_navn,V$20:V$35)*TuitionFeePartner1)+(SUMIF($C$20:$C$35,"PhD Student 4+4 Part A*",V$20:V$35)*(TuitionFeePartner1/2))+(SUMIF($C$20:$C$35,"PhD student 4+4 Part B*",V$20:V$35)*TuitionFeePartner1),0),0)</f>
        <v>120000</v>
      </c>
      <c r="X119" s="82"/>
      <c r="Y119" s="72"/>
      <c r="Z119" s="612">
        <f>IFERROR(IF($E$119&lt;&gt;"No",(SUMIF($C$20:$C$35,PhD_navn,Y$20:Y$35)*TuitionFeePartner1)+(SUMIF($C$20:$C$35,"PhD Student 4+4 Part A*",Y$20:Y$35)*(TuitionFeePartner1/2))+(SUMIF($C$20:$C$35,"PhD student 4+4 Part B*",Y$20:Y$35)*TuitionFeePartner1),0),0)</f>
        <v>80000</v>
      </c>
      <c r="AA119" s="82"/>
      <c r="AB119" s="72"/>
      <c r="AC119" s="612">
        <f>IFERROR(IF($E$119&lt;&gt;"No",(SUMIF($C$20:$C$35,PhD_navn,AB$20:AB$35)*TuitionFeePartner1)+(SUMIF($C$20:$C$35,"PhD Student 4+4 Part A*",AB$20:AB$35)*(TuitionFeePartner1/2))+(SUMIF($C$20:$C$35,"PhD student 4+4 Part B*",AB$20:AB$35)*TuitionFeePartner1),0),0)</f>
        <v>40000</v>
      </c>
      <c r="AD119" s="82"/>
      <c r="AE119" s="72"/>
      <c r="AF119" s="612">
        <f>IFERROR(IF($E$119&lt;&gt;"No",(SUMIF($C$20:$C$35,PhD_navn,AE$20:AE$35)*TuitionFeePartner1)+(SUMIF($C$20:$C$35,"PhD Student 4+4 Part A*",AE$20:AE$35)*(TuitionFeePartner1/2))+(SUMIF($C$20:$C$35,"PhD student 4+4 Part B*",AE$20:AE$35)*TuitionFeePartner1),0),0)</f>
        <v>0</v>
      </c>
      <c r="AG119" s="82"/>
      <c r="AH119" s="72"/>
      <c r="AI119" s="612">
        <f>IFERROR(IF($E$119&lt;&gt;"No",(SUMIF($C$20:$C$35,PhD_navn,AH$20:AH$35)*TuitionFeePartner1)+(SUMIF($C$20:$C$35,"PhD Student 4+4 Part A*",AH$20:AH$35)*(TuitionFeePartner1/2))+(SUMIF($C$20:$C$35,"PhD student 4+4 Part B*",AH$20:AH$35)*TuitionFeePartner1),0),0)</f>
        <v>0</v>
      </c>
      <c r="AJ119" s="82"/>
      <c r="AK119" s="72"/>
      <c r="AL119" s="612">
        <f>IFERROR(IF($E$119&lt;&gt;"No",(SUMIF($C$20:$C$35,PhD_navn,AK$20:AK$35)*TuitionFeePartner1)+(SUMIF($C$20:$C$35,"PhD Student 4+4 Part A*",AK$20:AK$35)*(TuitionFeePartner1/2))+(SUMIF($C$20:$C$35,"PhD student 4+4 Part B*",AK$20:AK$35)*TuitionFeePartner1),0),0)</f>
        <v>0</v>
      </c>
      <c r="AM119" s="82"/>
      <c r="AN119" s="72"/>
      <c r="AO119" s="612">
        <f>IFERROR(IF($E$119&lt;&gt;"No",(SUMIF($C$20:$C$35,PhD_navn,AN$20:AN$35)*TuitionFeePartner1)+(SUMIF($C$20:$C$35,"PhD Student 4+4 Part A*",AN$20:AN$35)*(TuitionFeePartner1/2))+(SUMIF($C$20:$C$35,"PhD student 4+4 Part B*",AN$20:AN$35)*TuitionFeePartner1),0),0)</f>
        <v>0</v>
      </c>
      <c r="AP119" s="71"/>
      <c r="AQ119" s="72"/>
      <c r="AR119" s="81">
        <f t="shared" si="133"/>
        <v>480000</v>
      </c>
    </row>
    <row r="120" spans="2:44" ht="16" hidden="1" outlineLevel="2" x14ac:dyDescent="0.2">
      <c r="B120" s="438"/>
      <c r="C120" s="624" t="s">
        <v>41</v>
      </c>
      <c r="D120" s="621" t="s">
        <v>92</v>
      </c>
      <c r="E120" s="594" t="s">
        <v>93</v>
      </c>
      <c r="F120" s="620" t="s">
        <v>94</v>
      </c>
      <c r="G120" s="596"/>
      <c r="H120" s="596"/>
      <c r="I120" s="613">
        <f>IF(AND(InstitutionPartner1="AU",FacultyPartner1="Natural Sciences",$E$120="Yes"),_xlfn.XLOOKUP(DepPartner1,Lists!$C$36:$C$44,Lists!$E$36:$E$44),0)</f>
        <v>0</v>
      </c>
      <c r="J120" s="611"/>
      <c r="K120" s="610" t="s">
        <v>91</v>
      </c>
      <c r="L120" s="80"/>
      <c r="M120" s="80"/>
      <c r="N120" s="612" cm="1">
        <f t="array" ref="N120">IF($E$120="Yes",((M$36*12)*IF(BenchFeePartner1&gt;=BenchFeeFoundation,BenchFeeFoundation,BenchFeePartner1)),0)</f>
        <v>0</v>
      </c>
      <c r="O120" s="72"/>
      <c r="P120" s="72"/>
      <c r="Q120" s="612" cm="1">
        <f t="array" ref="Q120">IF($E$120="Yes",((P$36*12)*IF(BenchFeePartner1&gt;=BenchFeeFoundation,BenchFeeFoundation,BenchFeePartner1)),0)</f>
        <v>0</v>
      </c>
      <c r="R120" s="72"/>
      <c r="S120" s="72"/>
      <c r="T120" s="612" cm="1">
        <f t="array" ref="T120">IF($E$120="Yes",((S$36*12)*IF(BenchFeePartner1&gt;=BenchFeeFoundation,BenchFeeFoundation,BenchFeePartner1)),0)</f>
        <v>0</v>
      </c>
      <c r="U120" s="82"/>
      <c r="V120" s="72"/>
      <c r="W120" s="612" cm="1">
        <f t="array" ref="W120">IF($E$120="Yes",((V$36*12)*IF(BenchFeePartner1&gt;=BenchFeeFoundation,BenchFeeFoundation,BenchFeePartner1)),0)</f>
        <v>0</v>
      </c>
      <c r="X120" s="72"/>
      <c r="Y120" s="72"/>
      <c r="Z120" s="612" cm="1">
        <f t="array" ref="Z120">IF($E$120="Yes",((Y$36*12)*IF(BenchFeePartner1&gt;=BenchFeeFoundation,BenchFeeFoundation,BenchFeePartner1)),0)</f>
        <v>0</v>
      </c>
      <c r="AA120" s="82"/>
      <c r="AB120" s="72"/>
      <c r="AC120" s="612" cm="1">
        <f t="array" ref="AC120">IF($E$120="Yes",((AB$36*12)*IF(BenchFeePartner1&gt;=BenchFeeFoundation,BenchFeeFoundation,BenchFeePartner1)),0)</f>
        <v>0</v>
      </c>
      <c r="AD120" s="72"/>
      <c r="AE120" s="72"/>
      <c r="AF120" s="612" cm="1">
        <f t="array" ref="AF120">IF($E$120="Yes",((AE$36*12)*IF(BenchFeePartner1&gt;=BenchFeeFoundation,BenchFeeFoundation,BenchFeePartner1)),0)</f>
        <v>0</v>
      </c>
      <c r="AG120" s="72"/>
      <c r="AH120" s="72"/>
      <c r="AI120" s="612" cm="1">
        <f t="array" ref="AI120">IF($E$120="Yes",((AH$36*12)*IF(BenchFeePartner1&gt;=BenchFeeFoundation,BenchFeeFoundation,BenchFeePartner1)),0)</f>
        <v>0</v>
      </c>
      <c r="AJ120" s="72"/>
      <c r="AK120" s="72"/>
      <c r="AL120" s="612" cm="1">
        <f t="array" ref="AL120">IF($E$120="Yes",((AK$36*12)*IF(BenchFeePartner1&gt;=BenchFeeFoundation,BenchFeeFoundation,BenchFeePartner1)),0)</f>
        <v>0</v>
      </c>
      <c r="AM120" s="72"/>
      <c r="AN120" s="72"/>
      <c r="AO120" s="612" cm="1">
        <f t="array" ref="AO120">IF($E$120="Yes",((AN$36*12)*IF(BenchFeePartner1&gt;=BenchFeeFoundation,BenchFeeFoundation,BenchFeePartner1)),0)</f>
        <v>0</v>
      </c>
      <c r="AP120" s="71"/>
      <c r="AQ120" s="72"/>
      <c r="AR120" s="81">
        <f t="shared" si="133"/>
        <v>0</v>
      </c>
    </row>
    <row r="121" spans="2:44" ht="19" outlineLevel="1" collapsed="1" x14ac:dyDescent="0.25">
      <c r="B121" s="440" t="s">
        <v>95</v>
      </c>
      <c r="C121" s="83"/>
      <c r="D121" s="84"/>
      <c r="E121" s="85"/>
      <c r="F121" s="86"/>
      <c r="G121" s="87"/>
      <c r="H121" s="87"/>
      <c r="I121" s="88"/>
      <c r="J121" s="88"/>
      <c r="K121" s="89" t="s">
        <v>71</v>
      </c>
      <c r="L121" s="595"/>
      <c r="M121" s="90"/>
      <c r="N121" s="74">
        <f>SUM(N95:N120)</f>
        <v>275000</v>
      </c>
      <c r="O121" s="90"/>
      <c r="P121" s="90"/>
      <c r="Q121" s="74">
        <f>SUM(Q95:Q120)</f>
        <v>340000</v>
      </c>
      <c r="R121" s="90"/>
      <c r="S121" s="90"/>
      <c r="T121" s="74">
        <f>SUM(T95:T120)</f>
        <v>410000</v>
      </c>
      <c r="U121" s="135"/>
      <c r="V121" s="106"/>
      <c r="W121" s="74">
        <f>SUM(W95:W120)</f>
        <v>240000</v>
      </c>
      <c r="X121" s="90"/>
      <c r="Y121" s="90"/>
      <c r="Z121" s="74">
        <f>SUM(Z95:Z120)</f>
        <v>320000</v>
      </c>
      <c r="AA121" s="135"/>
      <c r="AB121" s="106"/>
      <c r="AC121" s="74">
        <f>SUM(AC95:AC120)</f>
        <v>230000</v>
      </c>
      <c r="AD121" s="90"/>
      <c r="AE121" s="90"/>
      <c r="AF121" s="74">
        <f>SUM(AF95:AF120)</f>
        <v>0</v>
      </c>
      <c r="AG121" s="90"/>
      <c r="AH121" s="90"/>
      <c r="AI121" s="74">
        <f>SUM(AI95:AI120)</f>
        <v>0</v>
      </c>
      <c r="AJ121" s="90"/>
      <c r="AK121" s="90"/>
      <c r="AL121" s="74">
        <f>SUM(AL95:AL120)</f>
        <v>0</v>
      </c>
      <c r="AM121" s="90"/>
      <c r="AN121" s="90"/>
      <c r="AO121" s="74">
        <f>SUM(AO95:AO120)</f>
        <v>0</v>
      </c>
      <c r="AP121" s="79"/>
      <c r="AQ121" s="80"/>
      <c r="AR121" s="75">
        <f>SUM(N121:AO121)</f>
        <v>1815000</v>
      </c>
    </row>
    <row r="122" spans="2:44" outlineLevel="1" x14ac:dyDescent="0.2">
      <c r="B122" s="438"/>
      <c r="C122" s="733" t="s">
        <v>96</v>
      </c>
      <c r="D122" s="734"/>
      <c r="E122" s="734"/>
      <c r="F122" s="219" t="s">
        <v>85</v>
      </c>
      <c r="G122" s="246"/>
      <c r="H122" s="246"/>
      <c r="I122" s="247"/>
      <c r="J122" s="247"/>
      <c r="K122" s="246"/>
      <c r="L122" s="248"/>
      <c r="M122" s="226"/>
      <c r="N122" s="205"/>
      <c r="O122" s="226"/>
      <c r="P122" s="226"/>
      <c r="Q122" s="205"/>
      <c r="R122" s="226"/>
      <c r="S122" s="226"/>
      <c r="T122" s="205"/>
      <c r="U122" s="226"/>
      <c r="V122" s="226"/>
      <c r="W122" s="205"/>
      <c r="X122" s="226"/>
      <c r="Y122" s="226"/>
      <c r="Z122" s="205"/>
      <c r="AA122" s="226"/>
      <c r="AB122" s="226"/>
      <c r="AC122" s="205"/>
      <c r="AD122" s="226"/>
      <c r="AE122" s="226"/>
      <c r="AF122" s="205"/>
      <c r="AG122" s="226"/>
      <c r="AH122" s="226"/>
      <c r="AI122" s="205"/>
      <c r="AJ122" s="226"/>
      <c r="AK122" s="226"/>
      <c r="AL122" s="205"/>
      <c r="AM122" s="226"/>
      <c r="AN122" s="226"/>
      <c r="AO122" s="208"/>
      <c r="AP122" s="225"/>
      <c r="AQ122" s="222"/>
      <c r="AR122" s="239"/>
    </row>
    <row r="123" spans="2:44" outlineLevel="1" x14ac:dyDescent="0.2">
      <c r="B123" s="438"/>
      <c r="C123" s="730" t="s">
        <v>69</v>
      </c>
      <c r="D123" s="731"/>
      <c r="E123" s="732"/>
      <c r="F123" s="725"/>
      <c r="G123" s="737"/>
      <c r="H123" s="737"/>
      <c r="I123" s="737"/>
      <c r="J123" s="726"/>
      <c r="K123" s="294"/>
      <c r="L123" s="249"/>
      <c r="M123" s="250"/>
      <c r="N123" s="52"/>
      <c r="O123" s="249"/>
      <c r="P123" s="250"/>
      <c r="Q123" s="52"/>
      <c r="R123" s="249"/>
      <c r="S123" s="250"/>
      <c r="T123" s="52"/>
      <c r="U123" s="249"/>
      <c r="V123" s="250"/>
      <c r="W123" s="52"/>
      <c r="X123" s="249"/>
      <c r="Y123" s="250"/>
      <c r="Z123" s="52"/>
      <c r="AA123" s="249"/>
      <c r="AB123" s="250"/>
      <c r="AC123" s="52"/>
      <c r="AD123" s="249"/>
      <c r="AE123" s="250"/>
      <c r="AF123" s="52"/>
      <c r="AG123" s="249"/>
      <c r="AH123" s="250"/>
      <c r="AI123" s="52"/>
      <c r="AJ123" s="249"/>
      <c r="AK123" s="250"/>
      <c r="AL123" s="52"/>
      <c r="AM123" s="249"/>
      <c r="AN123" s="250"/>
      <c r="AO123" s="52"/>
      <c r="AP123" s="251"/>
      <c r="AQ123" s="252"/>
      <c r="AR123" s="81">
        <f t="shared" si="133"/>
        <v>0</v>
      </c>
    </row>
    <row r="124" spans="2:44" outlineLevel="1" x14ac:dyDescent="0.2">
      <c r="B124" s="438"/>
      <c r="C124" s="705" t="s">
        <v>69</v>
      </c>
      <c r="D124" s="706"/>
      <c r="E124" s="707"/>
      <c r="F124" s="708"/>
      <c r="G124" s="709"/>
      <c r="H124" s="709"/>
      <c r="I124" s="709"/>
      <c r="J124" s="710"/>
      <c r="K124" s="294"/>
      <c r="L124" s="249"/>
      <c r="M124" s="250"/>
      <c r="N124" s="52"/>
      <c r="O124" s="249"/>
      <c r="P124" s="250"/>
      <c r="Q124" s="52"/>
      <c r="R124" s="249"/>
      <c r="S124" s="250"/>
      <c r="T124" s="52"/>
      <c r="U124" s="249"/>
      <c r="V124" s="250"/>
      <c r="W124" s="52"/>
      <c r="X124" s="249"/>
      <c r="Y124" s="250"/>
      <c r="Z124" s="52"/>
      <c r="AA124" s="249"/>
      <c r="AB124" s="250"/>
      <c r="AC124" s="52"/>
      <c r="AD124" s="249"/>
      <c r="AE124" s="250"/>
      <c r="AF124" s="52"/>
      <c r="AG124" s="249"/>
      <c r="AH124" s="250"/>
      <c r="AI124" s="52"/>
      <c r="AJ124" s="249"/>
      <c r="AK124" s="250"/>
      <c r="AL124" s="52"/>
      <c r="AM124" s="249"/>
      <c r="AN124" s="250"/>
      <c r="AO124" s="52"/>
      <c r="AP124" s="251"/>
      <c r="AQ124" s="252"/>
      <c r="AR124" s="81">
        <f t="shared" si="133"/>
        <v>0</v>
      </c>
    </row>
    <row r="125" spans="2:44" hidden="1" outlineLevel="2" x14ac:dyDescent="0.2">
      <c r="B125" s="438"/>
      <c r="C125" s="705" t="s">
        <v>69</v>
      </c>
      <c r="D125" s="706"/>
      <c r="E125" s="707"/>
      <c r="F125" s="708"/>
      <c r="G125" s="709"/>
      <c r="H125" s="709"/>
      <c r="I125" s="709"/>
      <c r="J125" s="710"/>
      <c r="K125" s="294"/>
      <c r="L125" s="249"/>
      <c r="M125" s="250"/>
      <c r="N125" s="52"/>
      <c r="O125" s="249"/>
      <c r="P125" s="250"/>
      <c r="Q125" s="52"/>
      <c r="R125" s="249"/>
      <c r="S125" s="250"/>
      <c r="T125" s="52"/>
      <c r="U125" s="249"/>
      <c r="V125" s="250"/>
      <c r="W125" s="52"/>
      <c r="X125" s="249"/>
      <c r="Y125" s="250"/>
      <c r="Z125" s="52"/>
      <c r="AA125" s="249"/>
      <c r="AB125" s="250"/>
      <c r="AC125" s="52"/>
      <c r="AD125" s="249"/>
      <c r="AE125" s="250"/>
      <c r="AF125" s="52"/>
      <c r="AG125" s="249"/>
      <c r="AH125" s="250"/>
      <c r="AI125" s="52"/>
      <c r="AJ125" s="249"/>
      <c r="AK125" s="250"/>
      <c r="AL125" s="52"/>
      <c r="AM125" s="249"/>
      <c r="AN125" s="250"/>
      <c r="AO125" s="52"/>
      <c r="AP125" s="251"/>
      <c r="AQ125" s="252"/>
      <c r="AR125" s="81">
        <f t="shared" ref="AR125:AR143" si="137">SUM(N125:AO125)</f>
        <v>0</v>
      </c>
    </row>
    <row r="126" spans="2:44" ht="15" hidden="1" customHeight="1" outlineLevel="2" x14ac:dyDescent="0.2">
      <c r="B126" s="438"/>
      <c r="C126" s="705" t="s">
        <v>69</v>
      </c>
      <c r="D126" s="706"/>
      <c r="E126" s="707"/>
      <c r="F126" s="708"/>
      <c r="G126" s="709"/>
      <c r="H126" s="709"/>
      <c r="I126" s="709"/>
      <c r="J126" s="710"/>
      <c r="K126" s="294"/>
      <c r="L126" s="249"/>
      <c r="M126" s="250"/>
      <c r="N126" s="52"/>
      <c r="O126" s="249"/>
      <c r="P126" s="250"/>
      <c r="Q126" s="52"/>
      <c r="R126" s="249"/>
      <c r="S126" s="250"/>
      <c r="T126" s="52"/>
      <c r="U126" s="249"/>
      <c r="V126" s="250"/>
      <c r="W126" s="52"/>
      <c r="X126" s="249"/>
      <c r="Y126" s="250"/>
      <c r="Z126" s="52"/>
      <c r="AA126" s="249"/>
      <c r="AB126" s="250"/>
      <c r="AC126" s="52"/>
      <c r="AD126" s="249"/>
      <c r="AE126" s="250"/>
      <c r="AF126" s="52"/>
      <c r="AG126" s="249"/>
      <c r="AH126" s="250"/>
      <c r="AI126" s="52"/>
      <c r="AJ126" s="249"/>
      <c r="AK126" s="250"/>
      <c r="AL126" s="52"/>
      <c r="AM126" s="249"/>
      <c r="AN126" s="250"/>
      <c r="AO126" s="52"/>
      <c r="AP126" s="251"/>
      <c r="AQ126" s="252"/>
      <c r="AR126" s="81">
        <f t="shared" si="137"/>
        <v>0</v>
      </c>
    </row>
    <row r="127" spans="2:44" ht="15" hidden="1" customHeight="1" outlineLevel="2" x14ac:dyDescent="0.2">
      <c r="B127" s="438"/>
      <c r="C127" s="705" t="s">
        <v>69</v>
      </c>
      <c r="D127" s="706"/>
      <c r="E127" s="707"/>
      <c r="F127" s="708"/>
      <c r="G127" s="709"/>
      <c r="H127" s="709"/>
      <c r="I127" s="709"/>
      <c r="J127" s="710"/>
      <c r="K127" s="294"/>
      <c r="L127" s="249"/>
      <c r="M127" s="250"/>
      <c r="N127" s="52"/>
      <c r="O127" s="249"/>
      <c r="P127" s="250"/>
      <c r="Q127" s="52"/>
      <c r="R127" s="249"/>
      <c r="S127" s="250"/>
      <c r="T127" s="52"/>
      <c r="U127" s="249"/>
      <c r="V127" s="250"/>
      <c r="W127" s="52"/>
      <c r="X127" s="249"/>
      <c r="Y127" s="250"/>
      <c r="Z127" s="52"/>
      <c r="AA127" s="249"/>
      <c r="AB127" s="250"/>
      <c r="AC127" s="52"/>
      <c r="AD127" s="249"/>
      <c r="AE127" s="250"/>
      <c r="AF127" s="52"/>
      <c r="AG127" s="249"/>
      <c r="AH127" s="250"/>
      <c r="AI127" s="52"/>
      <c r="AJ127" s="249"/>
      <c r="AK127" s="250"/>
      <c r="AL127" s="52"/>
      <c r="AM127" s="249"/>
      <c r="AN127" s="250"/>
      <c r="AO127" s="52"/>
      <c r="AP127" s="251"/>
      <c r="AQ127" s="252"/>
      <c r="AR127" s="81">
        <f t="shared" si="137"/>
        <v>0</v>
      </c>
    </row>
    <row r="128" spans="2:44" ht="15" hidden="1" customHeight="1" outlineLevel="2" x14ac:dyDescent="0.2">
      <c r="B128" s="438"/>
      <c r="C128" s="705" t="s">
        <v>69</v>
      </c>
      <c r="D128" s="706"/>
      <c r="E128" s="707"/>
      <c r="F128" s="708"/>
      <c r="G128" s="709"/>
      <c r="H128" s="709"/>
      <c r="I128" s="709"/>
      <c r="J128" s="710"/>
      <c r="K128" s="294"/>
      <c r="L128" s="249"/>
      <c r="M128" s="250"/>
      <c r="N128" s="52"/>
      <c r="O128" s="249"/>
      <c r="P128" s="250"/>
      <c r="Q128" s="52"/>
      <c r="R128" s="249"/>
      <c r="S128" s="250"/>
      <c r="T128" s="52"/>
      <c r="U128" s="249"/>
      <c r="V128" s="250"/>
      <c r="W128" s="52"/>
      <c r="X128" s="249"/>
      <c r="Y128" s="250"/>
      <c r="Z128" s="52"/>
      <c r="AA128" s="249"/>
      <c r="AB128" s="250"/>
      <c r="AC128" s="52"/>
      <c r="AD128" s="249"/>
      <c r="AE128" s="250"/>
      <c r="AF128" s="52"/>
      <c r="AG128" s="249"/>
      <c r="AH128" s="250"/>
      <c r="AI128" s="52"/>
      <c r="AJ128" s="249"/>
      <c r="AK128" s="250"/>
      <c r="AL128" s="52"/>
      <c r="AM128" s="249"/>
      <c r="AN128" s="250"/>
      <c r="AO128" s="52"/>
      <c r="AP128" s="251"/>
      <c r="AQ128" s="252"/>
      <c r="AR128" s="81">
        <f t="shared" si="137"/>
        <v>0</v>
      </c>
    </row>
    <row r="129" spans="2:44" ht="15" hidden="1" customHeight="1" outlineLevel="2" x14ac:dyDescent="0.2">
      <c r="B129" s="438"/>
      <c r="C129" s="705" t="s">
        <v>69</v>
      </c>
      <c r="D129" s="706"/>
      <c r="E129" s="707"/>
      <c r="F129" s="708"/>
      <c r="G129" s="709"/>
      <c r="H129" s="709"/>
      <c r="I129" s="709"/>
      <c r="J129" s="710"/>
      <c r="K129" s="294"/>
      <c r="L129" s="249"/>
      <c r="M129" s="250"/>
      <c r="N129" s="52"/>
      <c r="O129" s="249"/>
      <c r="P129" s="250"/>
      <c r="Q129" s="52"/>
      <c r="R129" s="249"/>
      <c r="S129" s="250"/>
      <c r="T129" s="52"/>
      <c r="U129" s="249"/>
      <c r="V129" s="250"/>
      <c r="W129" s="52"/>
      <c r="X129" s="249"/>
      <c r="Y129" s="250"/>
      <c r="Z129" s="52"/>
      <c r="AA129" s="249"/>
      <c r="AB129" s="250"/>
      <c r="AC129" s="52"/>
      <c r="AD129" s="249"/>
      <c r="AE129" s="250"/>
      <c r="AF129" s="52"/>
      <c r="AG129" s="249"/>
      <c r="AH129" s="250"/>
      <c r="AI129" s="52"/>
      <c r="AJ129" s="249"/>
      <c r="AK129" s="250"/>
      <c r="AL129" s="52"/>
      <c r="AM129" s="249"/>
      <c r="AN129" s="250"/>
      <c r="AO129" s="52"/>
      <c r="AP129" s="251"/>
      <c r="AQ129" s="252"/>
      <c r="AR129" s="81">
        <f t="shared" si="137"/>
        <v>0</v>
      </c>
    </row>
    <row r="130" spans="2:44" ht="15" hidden="1" customHeight="1" outlineLevel="2" x14ac:dyDescent="0.2">
      <c r="B130" s="438"/>
      <c r="C130" s="705" t="s">
        <v>69</v>
      </c>
      <c r="D130" s="706"/>
      <c r="E130" s="707"/>
      <c r="F130" s="708"/>
      <c r="G130" s="709"/>
      <c r="H130" s="709"/>
      <c r="I130" s="709"/>
      <c r="J130" s="710"/>
      <c r="K130" s="294"/>
      <c r="L130" s="249"/>
      <c r="M130" s="250"/>
      <c r="N130" s="52"/>
      <c r="O130" s="249"/>
      <c r="P130" s="250"/>
      <c r="Q130" s="52"/>
      <c r="R130" s="249"/>
      <c r="S130" s="250"/>
      <c r="T130" s="52"/>
      <c r="U130" s="249"/>
      <c r="V130" s="250"/>
      <c r="W130" s="52"/>
      <c r="X130" s="249"/>
      <c r="Y130" s="250"/>
      <c r="Z130" s="52"/>
      <c r="AA130" s="249"/>
      <c r="AB130" s="250"/>
      <c r="AC130" s="52"/>
      <c r="AD130" s="249"/>
      <c r="AE130" s="250"/>
      <c r="AF130" s="52"/>
      <c r="AG130" s="249"/>
      <c r="AH130" s="250"/>
      <c r="AI130" s="52"/>
      <c r="AJ130" s="249"/>
      <c r="AK130" s="250"/>
      <c r="AL130" s="52"/>
      <c r="AM130" s="249"/>
      <c r="AN130" s="250"/>
      <c r="AO130" s="52"/>
      <c r="AP130" s="251"/>
      <c r="AQ130" s="252"/>
      <c r="AR130" s="81">
        <f t="shared" si="137"/>
        <v>0</v>
      </c>
    </row>
    <row r="131" spans="2:44" ht="15" hidden="1" customHeight="1" outlineLevel="2" x14ac:dyDescent="0.2">
      <c r="B131" s="438"/>
      <c r="C131" s="705" t="s">
        <v>69</v>
      </c>
      <c r="D131" s="706"/>
      <c r="E131" s="707"/>
      <c r="F131" s="708"/>
      <c r="G131" s="709"/>
      <c r="H131" s="709"/>
      <c r="I131" s="709"/>
      <c r="J131" s="710"/>
      <c r="K131" s="294"/>
      <c r="L131" s="249"/>
      <c r="M131" s="250"/>
      <c r="N131" s="52"/>
      <c r="O131" s="249"/>
      <c r="P131" s="250"/>
      <c r="Q131" s="52"/>
      <c r="R131" s="249"/>
      <c r="S131" s="250"/>
      <c r="T131" s="52"/>
      <c r="U131" s="249"/>
      <c r="V131" s="250"/>
      <c r="W131" s="52"/>
      <c r="X131" s="249"/>
      <c r="Y131" s="250"/>
      <c r="Z131" s="52"/>
      <c r="AA131" s="249"/>
      <c r="AB131" s="250"/>
      <c r="AC131" s="52"/>
      <c r="AD131" s="249"/>
      <c r="AE131" s="250"/>
      <c r="AF131" s="52"/>
      <c r="AG131" s="249"/>
      <c r="AH131" s="250"/>
      <c r="AI131" s="52"/>
      <c r="AJ131" s="249"/>
      <c r="AK131" s="250"/>
      <c r="AL131" s="52"/>
      <c r="AM131" s="249"/>
      <c r="AN131" s="250"/>
      <c r="AO131" s="52"/>
      <c r="AP131" s="251"/>
      <c r="AQ131" s="252"/>
      <c r="AR131" s="81">
        <f t="shared" si="137"/>
        <v>0</v>
      </c>
    </row>
    <row r="132" spans="2:44" ht="15" hidden="1" customHeight="1" outlineLevel="2" x14ac:dyDescent="0.2">
      <c r="B132" s="438"/>
      <c r="C132" s="705" t="s">
        <v>69</v>
      </c>
      <c r="D132" s="706"/>
      <c r="E132" s="707"/>
      <c r="F132" s="708"/>
      <c r="G132" s="709"/>
      <c r="H132" s="709"/>
      <c r="I132" s="709"/>
      <c r="J132" s="710"/>
      <c r="K132" s="294"/>
      <c r="L132" s="249"/>
      <c r="M132" s="250"/>
      <c r="N132" s="52"/>
      <c r="O132" s="249"/>
      <c r="P132" s="250"/>
      <c r="Q132" s="52"/>
      <c r="R132" s="249"/>
      <c r="S132" s="250"/>
      <c r="T132" s="52"/>
      <c r="U132" s="249"/>
      <c r="V132" s="250"/>
      <c r="W132" s="52"/>
      <c r="X132" s="249"/>
      <c r="Y132" s="250"/>
      <c r="Z132" s="52"/>
      <c r="AA132" s="249"/>
      <c r="AB132" s="250"/>
      <c r="AC132" s="52"/>
      <c r="AD132" s="249"/>
      <c r="AE132" s="250"/>
      <c r="AF132" s="52"/>
      <c r="AG132" s="249"/>
      <c r="AH132" s="250"/>
      <c r="AI132" s="52"/>
      <c r="AJ132" s="249"/>
      <c r="AK132" s="250"/>
      <c r="AL132" s="52"/>
      <c r="AM132" s="249"/>
      <c r="AN132" s="250"/>
      <c r="AO132" s="52"/>
      <c r="AP132" s="251"/>
      <c r="AQ132" s="252"/>
      <c r="AR132" s="81">
        <f t="shared" si="137"/>
        <v>0</v>
      </c>
    </row>
    <row r="133" spans="2:44" ht="15" hidden="1" customHeight="1" outlineLevel="2" x14ac:dyDescent="0.2">
      <c r="B133" s="438"/>
      <c r="C133" s="705" t="s">
        <v>69</v>
      </c>
      <c r="D133" s="706"/>
      <c r="E133" s="707"/>
      <c r="F133" s="708"/>
      <c r="G133" s="709"/>
      <c r="H133" s="709"/>
      <c r="I133" s="709"/>
      <c r="J133" s="710"/>
      <c r="K133" s="294"/>
      <c r="L133" s="249"/>
      <c r="M133" s="250"/>
      <c r="N133" s="52"/>
      <c r="O133" s="249"/>
      <c r="P133" s="250"/>
      <c r="Q133" s="52"/>
      <c r="R133" s="249"/>
      <c r="S133" s="250"/>
      <c r="T133" s="52"/>
      <c r="U133" s="249"/>
      <c r="V133" s="250"/>
      <c r="W133" s="52"/>
      <c r="X133" s="249"/>
      <c r="Y133" s="250"/>
      <c r="Z133" s="52"/>
      <c r="AA133" s="249"/>
      <c r="AB133" s="250"/>
      <c r="AC133" s="52"/>
      <c r="AD133" s="249"/>
      <c r="AE133" s="250"/>
      <c r="AF133" s="52"/>
      <c r="AG133" s="249"/>
      <c r="AH133" s="250"/>
      <c r="AI133" s="52"/>
      <c r="AJ133" s="249"/>
      <c r="AK133" s="250"/>
      <c r="AL133" s="52"/>
      <c r="AM133" s="249"/>
      <c r="AN133" s="250"/>
      <c r="AO133" s="52"/>
      <c r="AP133" s="251"/>
      <c r="AQ133" s="252"/>
      <c r="AR133" s="81">
        <f t="shared" si="137"/>
        <v>0</v>
      </c>
    </row>
    <row r="134" spans="2:44" ht="15" hidden="1" customHeight="1" outlineLevel="2" x14ac:dyDescent="0.2">
      <c r="B134" s="438"/>
      <c r="C134" s="705" t="s">
        <v>69</v>
      </c>
      <c r="D134" s="706"/>
      <c r="E134" s="707"/>
      <c r="F134" s="708"/>
      <c r="G134" s="709"/>
      <c r="H134" s="709"/>
      <c r="I134" s="709"/>
      <c r="J134" s="710"/>
      <c r="K134" s="294"/>
      <c r="L134" s="249"/>
      <c r="M134" s="250"/>
      <c r="N134" s="52"/>
      <c r="O134" s="249"/>
      <c r="P134" s="250"/>
      <c r="Q134" s="52"/>
      <c r="R134" s="249"/>
      <c r="S134" s="250"/>
      <c r="T134" s="52"/>
      <c r="U134" s="249"/>
      <c r="V134" s="250"/>
      <c r="W134" s="52"/>
      <c r="X134" s="249"/>
      <c r="Y134" s="250"/>
      <c r="Z134" s="52"/>
      <c r="AA134" s="249"/>
      <c r="AB134" s="250"/>
      <c r="AC134" s="52"/>
      <c r="AD134" s="249"/>
      <c r="AE134" s="250"/>
      <c r="AF134" s="52"/>
      <c r="AG134" s="249"/>
      <c r="AH134" s="250"/>
      <c r="AI134" s="52"/>
      <c r="AJ134" s="249"/>
      <c r="AK134" s="250"/>
      <c r="AL134" s="52"/>
      <c r="AM134" s="249"/>
      <c r="AN134" s="250"/>
      <c r="AO134" s="52"/>
      <c r="AP134" s="251"/>
      <c r="AQ134" s="252"/>
      <c r="AR134" s="81">
        <f t="shared" si="137"/>
        <v>0</v>
      </c>
    </row>
    <row r="135" spans="2:44" ht="15" hidden="1" customHeight="1" outlineLevel="2" x14ac:dyDescent="0.2">
      <c r="B135" s="438"/>
      <c r="C135" s="705" t="s">
        <v>69</v>
      </c>
      <c r="D135" s="706"/>
      <c r="E135" s="707"/>
      <c r="F135" s="708"/>
      <c r="G135" s="709"/>
      <c r="H135" s="709"/>
      <c r="I135" s="709"/>
      <c r="J135" s="710"/>
      <c r="K135" s="294"/>
      <c r="L135" s="249"/>
      <c r="M135" s="250"/>
      <c r="N135" s="52"/>
      <c r="O135" s="249"/>
      <c r="P135" s="250"/>
      <c r="Q135" s="52"/>
      <c r="R135" s="249"/>
      <c r="S135" s="250"/>
      <c r="T135" s="52"/>
      <c r="U135" s="249"/>
      <c r="V135" s="250"/>
      <c r="W135" s="52"/>
      <c r="X135" s="249"/>
      <c r="Y135" s="250"/>
      <c r="Z135" s="52"/>
      <c r="AA135" s="249"/>
      <c r="AB135" s="250"/>
      <c r="AC135" s="52"/>
      <c r="AD135" s="249"/>
      <c r="AE135" s="250"/>
      <c r="AF135" s="52"/>
      <c r="AG135" s="249"/>
      <c r="AH135" s="250"/>
      <c r="AI135" s="52"/>
      <c r="AJ135" s="249"/>
      <c r="AK135" s="250"/>
      <c r="AL135" s="52"/>
      <c r="AM135" s="249"/>
      <c r="AN135" s="250"/>
      <c r="AO135" s="52"/>
      <c r="AP135" s="251"/>
      <c r="AQ135" s="252"/>
      <c r="AR135" s="81">
        <f t="shared" si="137"/>
        <v>0</v>
      </c>
    </row>
    <row r="136" spans="2:44" ht="15" hidden="1" customHeight="1" outlineLevel="2" x14ac:dyDescent="0.2">
      <c r="B136" s="438"/>
      <c r="C136" s="705" t="s">
        <v>69</v>
      </c>
      <c r="D136" s="706"/>
      <c r="E136" s="707"/>
      <c r="F136" s="708"/>
      <c r="G136" s="709"/>
      <c r="H136" s="709"/>
      <c r="I136" s="709"/>
      <c r="J136" s="710"/>
      <c r="K136" s="294"/>
      <c r="L136" s="249"/>
      <c r="M136" s="250"/>
      <c r="N136" s="52"/>
      <c r="O136" s="249"/>
      <c r="P136" s="250"/>
      <c r="Q136" s="52"/>
      <c r="R136" s="249"/>
      <c r="S136" s="250"/>
      <c r="T136" s="52"/>
      <c r="U136" s="249"/>
      <c r="V136" s="250"/>
      <c r="W136" s="52"/>
      <c r="X136" s="249"/>
      <c r="Y136" s="250"/>
      <c r="Z136" s="52"/>
      <c r="AA136" s="249"/>
      <c r="AB136" s="250"/>
      <c r="AC136" s="52"/>
      <c r="AD136" s="249"/>
      <c r="AE136" s="250"/>
      <c r="AF136" s="52"/>
      <c r="AG136" s="249"/>
      <c r="AH136" s="250"/>
      <c r="AI136" s="52"/>
      <c r="AJ136" s="249"/>
      <c r="AK136" s="250"/>
      <c r="AL136" s="52"/>
      <c r="AM136" s="249"/>
      <c r="AN136" s="250"/>
      <c r="AO136" s="52"/>
      <c r="AP136" s="251"/>
      <c r="AQ136" s="252"/>
      <c r="AR136" s="81">
        <f t="shared" si="137"/>
        <v>0</v>
      </c>
    </row>
    <row r="137" spans="2:44" ht="15" hidden="1" customHeight="1" outlineLevel="2" x14ac:dyDescent="0.2">
      <c r="B137" s="438"/>
      <c r="C137" s="705" t="s">
        <v>69</v>
      </c>
      <c r="D137" s="706"/>
      <c r="E137" s="707"/>
      <c r="F137" s="708"/>
      <c r="G137" s="709"/>
      <c r="H137" s="709"/>
      <c r="I137" s="709"/>
      <c r="J137" s="710"/>
      <c r="K137" s="294"/>
      <c r="L137" s="249"/>
      <c r="M137" s="250"/>
      <c r="N137" s="52"/>
      <c r="O137" s="249"/>
      <c r="P137" s="250"/>
      <c r="Q137" s="52"/>
      <c r="R137" s="249"/>
      <c r="S137" s="250"/>
      <c r="T137" s="52"/>
      <c r="U137" s="249"/>
      <c r="V137" s="250"/>
      <c r="W137" s="52"/>
      <c r="X137" s="249"/>
      <c r="Y137" s="250"/>
      <c r="Z137" s="52"/>
      <c r="AA137" s="249"/>
      <c r="AB137" s="250"/>
      <c r="AC137" s="52"/>
      <c r="AD137" s="249"/>
      <c r="AE137" s="250"/>
      <c r="AF137" s="52"/>
      <c r="AG137" s="249"/>
      <c r="AH137" s="250"/>
      <c r="AI137" s="52"/>
      <c r="AJ137" s="249"/>
      <c r="AK137" s="250"/>
      <c r="AL137" s="52"/>
      <c r="AM137" s="249"/>
      <c r="AN137" s="250"/>
      <c r="AO137" s="52"/>
      <c r="AP137" s="251"/>
      <c r="AQ137" s="252"/>
      <c r="AR137" s="81">
        <f t="shared" si="137"/>
        <v>0</v>
      </c>
    </row>
    <row r="138" spans="2:44" ht="15" hidden="1" customHeight="1" outlineLevel="2" x14ac:dyDescent="0.2">
      <c r="B138" s="438"/>
      <c r="C138" s="705" t="s">
        <v>69</v>
      </c>
      <c r="D138" s="706"/>
      <c r="E138" s="707"/>
      <c r="F138" s="708"/>
      <c r="G138" s="709"/>
      <c r="H138" s="709"/>
      <c r="I138" s="709"/>
      <c r="J138" s="710"/>
      <c r="K138" s="294"/>
      <c r="L138" s="249"/>
      <c r="M138" s="250"/>
      <c r="N138" s="52"/>
      <c r="O138" s="249"/>
      <c r="P138" s="250"/>
      <c r="Q138" s="52"/>
      <c r="R138" s="249"/>
      <c r="S138" s="250"/>
      <c r="T138" s="52"/>
      <c r="U138" s="249"/>
      <c r="V138" s="250"/>
      <c r="W138" s="52"/>
      <c r="X138" s="249"/>
      <c r="Y138" s="250"/>
      <c r="Z138" s="52"/>
      <c r="AA138" s="249"/>
      <c r="AB138" s="250"/>
      <c r="AC138" s="52"/>
      <c r="AD138" s="249"/>
      <c r="AE138" s="250"/>
      <c r="AF138" s="52"/>
      <c r="AG138" s="249"/>
      <c r="AH138" s="250"/>
      <c r="AI138" s="52"/>
      <c r="AJ138" s="249"/>
      <c r="AK138" s="250"/>
      <c r="AL138" s="52"/>
      <c r="AM138" s="249"/>
      <c r="AN138" s="250"/>
      <c r="AO138" s="52"/>
      <c r="AP138" s="251"/>
      <c r="AQ138" s="252"/>
      <c r="AR138" s="81">
        <f t="shared" si="137"/>
        <v>0</v>
      </c>
    </row>
    <row r="139" spans="2:44" outlineLevel="1" collapsed="1" x14ac:dyDescent="0.2">
      <c r="B139" s="438"/>
      <c r="C139" s="720" t="s">
        <v>97</v>
      </c>
      <c r="D139" s="721"/>
      <c r="E139" s="721"/>
      <c r="F139" s="677" t="s">
        <v>85</v>
      </c>
      <c r="G139" s="671"/>
      <c r="H139" s="671"/>
      <c r="I139" s="672"/>
      <c r="J139" s="672"/>
      <c r="K139" s="674"/>
      <c r="L139" s="222"/>
      <c r="M139" s="222"/>
      <c r="N139" s="224"/>
      <c r="O139" s="222"/>
      <c r="P139" s="222"/>
      <c r="Q139" s="224"/>
      <c r="R139" s="222"/>
      <c r="S139" s="222"/>
      <c r="T139" s="224"/>
      <c r="U139" s="222"/>
      <c r="V139" s="222"/>
      <c r="W139" s="224"/>
      <c r="X139" s="222"/>
      <c r="Y139" s="222"/>
      <c r="Z139" s="224"/>
      <c r="AA139" s="222"/>
      <c r="AB139" s="222"/>
      <c r="AC139" s="224"/>
      <c r="AD139" s="222"/>
      <c r="AE139" s="222"/>
      <c r="AF139" s="224"/>
      <c r="AG139" s="222"/>
      <c r="AH139" s="222"/>
      <c r="AI139" s="224"/>
      <c r="AJ139" s="222"/>
      <c r="AK139" s="222"/>
      <c r="AL139" s="224"/>
      <c r="AM139" s="222"/>
      <c r="AN139" s="222"/>
      <c r="AO139" s="224"/>
      <c r="AP139" s="222"/>
      <c r="AQ139" s="222"/>
      <c r="AR139" s="239"/>
    </row>
    <row r="140" spans="2:44" ht="15" customHeight="1" outlineLevel="1" x14ac:dyDescent="0.2">
      <c r="B140" s="438"/>
      <c r="C140" s="705" t="s">
        <v>69</v>
      </c>
      <c r="D140" s="706"/>
      <c r="E140" s="707"/>
      <c r="F140" s="708"/>
      <c r="G140" s="709"/>
      <c r="H140" s="709"/>
      <c r="I140" s="709"/>
      <c r="J140" s="710"/>
      <c r="K140" s="294"/>
      <c r="L140" s="249"/>
      <c r="M140" s="250"/>
      <c r="N140" s="52"/>
      <c r="O140" s="249"/>
      <c r="P140" s="250"/>
      <c r="Q140" s="52"/>
      <c r="R140" s="249"/>
      <c r="S140" s="250"/>
      <c r="T140" s="52"/>
      <c r="U140" s="249"/>
      <c r="V140" s="250"/>
      <c r="W140" s="52"/>
      <c r="X140" s="249"/>
      <c r="Y140" s="250"/>
      <c r="Z140" s="52"/>
      <c r="AA140" s="249"/>
      <c r="AB140" s="250"/>
      <c r="AC140" s="52"/>
      <c r="AD140" s="249"/>
      <c r="AE140" s="250"/>
      <c r="AF140" s="52"/>
      <c r="AG140" s="249"/>
      <c r="AH140" s="250"/>
      <c r="AI140" s="52"/>
      <c r="AJ140" s="249"/>
      <c r="AK140" s="250"/>
      <c r="AL140" s="52"/>
      <c r="AM140" s="249"/>
      <c r="AN140" s="250"/>
      <c r="AO140" s="52"/>
      <c r="AP140" s="251"/>
      <c r="AQ140" s="252"/>
      <c r="AR140" s="81">
        <f t="shared" si="137"/>
        <v>0</v>
      </c>
    </row>
    <row r="141" spans="2:44" ht="15" customHeight="1" outlineLevel="1" x14ac:dyDescent="0.2">
      <c r="B141" s="438"/>
      <c r="C141" s="705" t="s">
        <v>69</v>
      </c>
      <c r="D141" s="706"/>
      <c r="E141" s="707"/>
      <c r="F141" s="708"/>
      <c r="G141" s="709"/>
      <c r="H141" s="709"/>
      <c r="I141" s="709"/>
      <c r="J141" s="710"/>
      <c r="K141" s="294"/>
      <c r="L141" s="249"/>
      <c r="M141" s="250"/>
      <c r="N141" s="52"/>
      <c r="O141" s="249"/>
      <c r="P141" s="250"/>
      <c r="Q141" s="52"/>
      <c r="R141" s="249"/>
      <c r="S141" s="250"/>
      <c r="T141" s="52"/>
      <c r="U141" s="249"/>
      <c r="V141" s="250"/>
      <c r="W141" s="52"/>
      <c r="X141" s="249"/>
      <c r="Y141" s="250"/>
      <c r="Z141" s="52"/>
      <c r="AA141" s="249"/>
      <c r="AB141" s="250"/>
      <c r="AC141" s="52"/>
      <c r="AD141" s="249"/>
      <c r="AE141" s="250"/>
      <c r="AF141" s="52"/>
      <c r="AG141" s="249"/>
      <c r="AH141" s="250"/>
      <c r="AI141" s="52"/>
      <c r="AJ141" s="249"/>
      <c r="AK141" s="250"/>
      <c r="AL141" s="52"/>
      <c r="AM141" s="249"/>
      <c r="AN141" s="250"/>
      <c r="AO141" s="52"/>
      <c r="AP141" s="251"/>
      <c r="AQ141" s="252"/>
      <c r="AR141" s="81">
        <f t="shared" si="137"/>
        <v>0</v>
      </c>
    </row>
    <row r="142" spans="2:44" ht="15" hidden="1" customHeight="1" outlineLevel="2" x14ac:dyDescent="0.2">
      <c r="B142" s="438"/>
      <c r="C142" s="705" t="s">
        <v>69</v>
      </c>
      <c r="D142" s="706"/>
      <c r="E142" s="707"/>
      <c r="F142" s="708"/>
      <c r="G142" s="709"/>
      <c r="H142" s="709"/>
      <c r="I142" s="709"/>
      <c r="J142" s="710"/>
      <c r="K142" s="294"/>
      <c r="L142" s="249"/>
      <c r="M142" s="250"/>
      <c r="N142" s="52"/>
      <c r="O142" s="249"/>
      <c r="P142" s="250"/>
      <c r="Q142" s="52"/>
      <c r="R142" s="249"/>
      <c r="S142" s="250"/>
      <c r="T142" s="52"/>
      <c r="U142" s="249"/>
      <c r="V142" s="250"/>
      <c r="W142" s="52"/>
      <c r="X142" s="249"/>
      <c r="Y142" s="250"/>
      <c r="Z142" s="52"/>
      <c r="AA142" s="249"/>
      <c r="AB142" s="250"/>
      <c r="AC142" s="52"/>
      <c r="AD142" s="249"/>
      <c r="AE142" s="250"/>
      <c r="AF142" s="52"/>
      <c r="AG142" s="249"/>
      <c r="AH142" s="250"/>
      <c r="AI142" s="52"/>
      <c r="AJ142" s="249"/>
      <c r="AK142" s="250"/>
      <c r="AL142" s="52"/>
      <c r="AM142" s="249"/>
      <c r="AN142" s="250"/>
      <c r="AO142" s="52"/>
      <c r="AP142" s="251"/>
      <c r="AQ142" s="252"/>
      <c r="AR142" s="81">
        <f t="shared" si="137"/>
        <v>0</v>
      </c>
    </row>
    <row r="143" spans="2:44" hidden="1" outlineLevel="2" x14ac:dyDescent="0.2">
      <c r="B143" s="438"/>
      <c r="C143" s="705" t="s">
        <v>69</v>
      </c>
      <c r="D143" s="706"/>
      <c r="E143" s="707"/>
      <c r="F143" s="708"/>
      <c r="G143" s="709"/>
      <c r="H143" s="709"/>
      <c r="I143" s="709"/>
      <c r="J143" s="710"/>
      <c r="K143" s="294"/>
      <c r="L143" s="249"/>
      <c r="M143" s="250"/>
      <c r="N143" s="52"/>
      <c r="O143" s="249"/>
      <c r="P143" s="250"/>
      <c r="Q143" s="52"/>
      <c r="R143" s="249"/>
      <c r="S143" s="250"/>
      <c r="T143" s="52"/>
      <c r="U143" s="249"/>
      <c r="V143" s="250"/>
      <c r="W143" s="52"/>
      <c r="X143" s="249"/>
      <c r="Y143" s="250"/>
      <c r="Z143" s="52"/>
      <c r="AA143" s="249"/>
      <c r="AB143" s="250"/>
      <c r="AC143" s="52"/>
      <c r="AD143" s="249"/>
      <c r="AE143" s="250"/>
      <c r="AF143" s="52"/>
      <c r="AG143" s="249"/>
      <c r="AH143" s="250"/>
      <c r="AI143" s="52"/>
      <c r="AJ143" s="249"/>
      <c r="AK143" s="250"/>
      <c r="AL143" s="52"/>
      <c r="AM143" s="249"/>
      <c r="AN143" s="250"/>
      <c r="AO143" s="52"/>
      <c r="AP143" s="251"/>
      <c r="AQ143" s="252"/>
      <c r="AR143" s="81">
        <f t="shared" si="137"/>
        <v>0</v>
      </c>
    </row>
    <row r="144" spans="2:44" hidden="1" outlineLevel="2" x14ac:dyDescent="0.2">
      <c r="B144" s="438"/>
      <c r="C144" s="705" t="s">
        <v>69</v>
      </c>
      <c r="D144" s="706"/>
      <c r="E144" s="707"/>
      <c r="F144" s="708"/>
      <c r="G144" s="709"/>
      <c r="H144" s="709"/>
      <c r="I144" s="709"/>
      <c r="J144" s="710"/>
      <c r="K144" s="294"/>
      <c r="L144" s="249"/>
      <c r="M144" s="250"/>
      <c r="N144" s="52"/>
      <c r="O144" s="249"/>
      <c r="P144" s="250"/>
      <c r="Q144" s="52"/>
      <c r="R144" s="249"/>
      <c r="S144" s="250"/>
      <c r="T144" s="52"/>
      <c r="U144" s="249"/>
      <c r="V144" s="250"/>
      <c r="W144" s="52"/>
      <c r="X144" s="249"/>
      <c r="Y144" s="250"/>
      <c r="Z144" s="52"/>
      <c r="AA144" s="249"/>
      <c r="AB144" s="250"/>
      <c r="AC144" s="52"/>
      <c r="AD144" s="249"/>
      <c r="AE144" s="250"/>
      <c r="AF144" s="52"/>
      <c r="AG144" s="249"/>
      <c r="AH144" s="250"/>
      <c r="AI144" s="52"/>
      <c r="AJ144" s="249"/>
      <c r="AK144" s="250"/>
      <c r="AL144" s="52"/>
      <c r="AM144" s="249"/>
      <c r="AN144" s="250"/>
      <c r="AO144" s="52"/>
      <c r="AP144" s="251"/>
      <c r="AQ144" s="252"/>
      <c r="AR144" s="81">
        <f t="shared" ref="AR144" si="138">SUM(N144:AO144)</f>
        <v>0</v>
      </c>
    </row>
    <row r="145" spans="2:70" hidden="1" outlineLevel="2" x14ac:dyDescent="0.2">
      <c r="B145" s="438"/>
      <c r="C145" s="705" t="s">
        <v>69</v>
      </c>
      <c r="D145" s="706"/>
      <c r="E145" s="707"/>
      <c r="F145" s="708"/>
      <c r="G145" s="709"/>
      <c r="H145" s="709"/>
      <c r="I145" s="709"/>
      <c r="J145" s="710"/>
      <c r="K145" s="294"/>
      <c r="L145" s="249"/>
      <c r="M145" s="250"/>
      <c r="N145" s="52"/>
      <c r="O145" s="249"/>
      <c r="P145" s="250"/>
      <c r="Q145" s="52"/>
      <c r="R145" s="249"/>
      <c r="S145" s="250"/>
      <c r="T145" s="52"/>
      <c r="U145" s="249"/>
      <c r="V145" s="250"/>
      <c r="W145" s="52"/>
      <c r="X145" s="249"/>
      <c r="Y145" s="250"/>
      <c r="Z145" s="52"/>
      <c r="AA145" s="249"/>
      <c r="AB145" s="250"/>
      <c r="AC145" s="52"/>
      <c r="AD145" s="249"/>
      <c r="AE145" s="250"/>
      <c r="AF145" s="52"/>
      <c r="AG145" s="249"/>
      <c r="AH145" s="250"/>
      <c r="AI145" s="52"/>
      <c r="AJ145" s="249"/>
      <c r="AK145" s="250"/>
      <c r="AL145" s="52"/>
      <c r="AM145" s="249"/>
      <c r="AN145" s="250"/>
      <c r="AO145" s="52"/>
      <c r="AP145" s="251"/>
      <c r="AQ145" s="252"/>
      <c r="AR145" s="81">
        <f t="shared" ref="AR145:AR148" si="139">SUM(N145:AO145)</f>
        <v>0</v>
      </c>
    </row>
    <row r="146" spans="2:70" hidden="1" outlineLevel="2" x14ac:dyDescent="0.2">
      <c r="B146" s="438"/>
      <c r="C146" s="705" t="s">
        <v>69</v>
      </c>
      <c r="D146" s="706"/>
      <c r="E146" s="707"/>
      <c r="F146" s="708"/>
      <c r="G146" s="709"/>
      <c r="H146" s="709"/>
      <c r="I146" s="709"/>
      <c r="J146" s="710"/>
      <c r="K146" s="294"/>
      <c r="L146" s="249"/>
      <c r="M146" s="250"/>
      <c r="N146" s="52"/>
      <c r="O146" s="249"/>
      <c r="P146" s="250"/>
      <c r="Q146" s="52"/>
      <c r="R146" s="249"/>
      <c r="S146" s="250"/>
      <c r="T146" s="52"/>
      <c r="U146" s="249"/>
      <c r="V146" s="250"/>
      <c r="W146" s="52"/>
      <c r="X146" s="249"/>
      <c r="Y146" s="250"/>
      <c r="Z146" s="52"/>
      <c r="AA146" s="249"/>
      <c r="AB146" s="250"/>
      <c r="AC146" s="52"/>
      <c r="AD146" s="249"/>
      <c r="AE146" s="250"/>
      <c r="AF146" s="52"/>
      <c r="AG146" s="249"/>
      <c r="AH146" s="250"/>
      <c r="AI146" s="52"/>
      <c r="AJ146" s="249"/>
      <c r="AK146" s="250"/>
      <c r="AL146" s="52"/>
      <c r="AM146" s="249"/>
      <c r="AN146" s="250"/>
      <c r="AO146" s="53"/>
      <c r="AP146" s="592"/>
      <c r="AQ146" s="250"/>
      <c r="AR146" s="81">
        <f t="shared" si="139"/>
        <v>0</v>
      </c>
    </row>
    <row r="147" spans="2:70" outlineLevel="1" collapsed="1" x14ac:dyDescent="0.2">
      <c r="B147" s="438"/>
      <c r="C147" s="623" t="s">
        <v>98</v>
      </c>
      <c r="D147" s="626" t="s">
        <v>99</v>
      </c>
      <c r="E147" s="593" t="s">
        <v>91</v>
      </c>
      <c r="F147" s="702"/>
      <c r="G147" s="703"/>
      <c r="H147" s="703"/>
      <c r="I147" s="703"/>
      <c r="J147" s="704"/>
      <c r="K147" s="609"/>
      <c r="L147" s="250"/>
      <c r="M147" s="250"/>
      <c r="N147" s="612">
        <f>IFERROR(IF($E$147&lt;&gt;"No",(SUMIF($C$38:$C$53,PhD_navn,M$38:M$53)*TuitionFeePartner1)+(SUMIF($C$38:$C$53,"PhD Student 4+4 Part A*",M$38:M$53)*(TuitionFeePartner1/2))+(SUMIF($C$38:$C$53,"PhD student 4+4 Part B*",M$38:M$53)*TuitionFeePartner1),0),0)</f>
        <v>0</v>
      </c>
      <c r="O147" s="249"/>
      <c r="P147" s="250"/>
      <c r="Q147" s="612">
        <f>IFERROR(IF($E$147&lt;&gt;"No",(SUMIF($C$38:$C$53,PhD_navn,P$38:P$53)*TuitionFeePartner1)+(SUMIF($C$38:$C$53,"PhD Student 4+4 Part A*",P$38:P$53)*(TuitionFeePartner1/2))+(SUMIF($C$38:$C$53,"PhD student 4+4 Part B*",P$38:P$53)*TuitionFeePartner1),0),0)</f>
        <v>0</v>
      </c>
      <c r="R147" s="249"/>
      <c r="S147" s="250"/>
      <c r="T147" s="612">
        <f>IFERROR(IF($E$147&lt;&gt;"No",(SUMIF($C$38:$C$53,PhD_navn,S$38:S$53)*TuitionFeePartner1)+(SUMIF($C$38:$C$53,"PhD Student 4+4 Part A*",S$38:S$53)*(TuitionFeePartner1/2))+(SUMIF($C$38:$C$53,"PhD student 4+4 Part B*",S$38:S$53)*TuitionFeePartner1),0),0)</f>
        <v>0</v>
      </c>
      <c r="U147" s="249"/>
      <c r="V147" s="250"/>
      <c r="W147" s="612">
        <f>IFERROR(IF($E$147&lt;&gt;"No",(SUMIF($C$38:$C$53,PhD_navn,V$38:V$53)*TuitionFeePartner1)+(SUMIF($C$38:$C$53,"PhD Student 4+4 Part A*",V$38:V$53)*(TuitionFeePartner1/2))+(SUMIF($C$38:$C$53,"PhD student 4+4 Part B*",V$38:V$53)*TuitionFeePartner1),0),0)</f>
        <v>0</v>
      </c>
      <c r="X147" s="249"/>
      <c r="Y147" s="250"/>
      <c r="Z147" s="612">
        <f>IFERROR(IF($E$147&lt;&gt;"No",(SUMIF($C$38:$C$53,PhD_navn,Y$38:Y$53)*TuitionFeePartner1)+(SUMIF($C$38:$C$53,"PhD Student 4+4 Part A*",Y$38:Y$53)*(TuitionFeePartner1/2))+(SUMIF($C$38:$C$53,"PhD student 4+4 Part B*",Y$38:Y$53)*TuitionFeePartner1),0),0)</f>
        <v>0</v>
      </c>
      <c r="AA147" s="249"/>
      <c r="AB147" s="250"/>
      <c r="AC147" s="612">
        <f>IFERROR(IF($E$147&lt;&gt;"No",(SUMIF($C$38:$C$53,PhD_navn,AB$38:AB$53)*TuitionFeePartner1)+(SUMIF($C$38:$C$53,"PhD Student 4+4 Part A*",AB$38:AB$53)*(TuitionFeePartner1/2))+(SUMIF($C$38:$C$53,"PhD student 4+4 Part B*",AB$38:AB$53)*TuitionFeePartner1),0),0)</f>
        <v>0</v>
      </c>
      <c r="AD147" s="249"/>
      <c r="AE147" s="250"/>
      <c r="AF147" s="612">
        <f>IFERROR(IF($E$147&lt;&gt;"No",(SUMIF($C$38:$C$53,PhD_navn,AE$38:AE$53)*TuitionFeePartner1)+(SUMIF($C$38:$C$53,"PhD Student 4+4 Part A*",AE$38:AE$53)*(TuitionFeePartner1/2))+(SUMIF($C$38:$C$53,"PhD student 4+4 Part B*",AE$38:AE$53)*TuitionFeePartner1),0),0)</f>
        <v>0</v>
      </c>
      <c r="AG147" s="249"/>
      <c r="AH147" s="250"/>
      <c r="AI147" s="612">
        <f>IFERROR(IF($E$147&lt;&gt;"No",(SUMIF($C$38:$C$53,PhD_navn,AH$38:AH$53)*TuitionFeePartner1)+(SUMIF($C$38:$C$53,"PhD Student 4+4 Part A*",AH$38:AH$53)*(TuitionFeePartner1/2))+(SUMIF($C$38:$C$53,"PhD student 4+4 Part B*",AH$38:AH$53)*TuitionFeePartner1),0),0)</f>
        <v>0</v>
      </c>
      <c r="AJ147" s="249"/>
      <c r="AK147" s="250"/>
      <c r="AL147" s="612">
        <f>IFERROR(IF($E$147&lt;&gt;"No",(SUMIF($C$38:$C$53,PhD_navn,AK$38:AK$53)*TuitionFeePartner1)+(SUMIF($C$38:$C$53,"PhD Student 4+4 Part A*",AK$38:AK$53)*(TuitionFeePartner1/2))+(SUMIF($C$38:$C$53,"PhD student 4+4 Part B*",AK$38:AK$53)*TuitionFeePartner1),0),0)</f>
        <v>0</v>
      </c>
      <c r="AM147" s="249"/>
      <c r="AN147" s="250"/>
      <c r="AO147" s="612">
        <f>IFERROR(IF($E$147&lt;&gt;"No",(SUMIF($C$38:$C$53,PhD_navn,AN$38:AN$53)*TuitionFeePartner1)+(SUMIF($C$38:$C$53,"PhD Student 4+4 Part A*",AN$38:AN$53)*(TuitionFeePartner1/2))+(SUMIF($C$38:$C$53,"PhD student 4+4 Part B*",AN$38:AN$53)*TuitionFeePartner1),0),0)</f>
        <v>0</v>
      </c>
      <c r="AP147" s="592"/>
      <c r="AQ147" s="250"/>
      <c r="AR147" s="81">
        <f t="shared" si="139"/>
        <v>0</v>
      </c>
    </row>
    <row r="148" spans="2:70" hidden="1" outlineLevel="2" x14ac:dyDescent="0.2">
      <c r="B148" s="438"/>
      <c r="C148" s="624" t="s">
        <v>41</v>
      </c>
      <c r="D148" s="625"/>
      <c r="E148" s="625"/>
      <c r="F148" s="702"/>
      <c r="G148" s="703"/>
      <c r="H148" s="703"/>
      <c r="I148" s="703"/>
      <c r="J148" s="704"/>
      <c r="K148" s="609"/>
      <c r="L148" s="250"/>
      <c r="M148" s="250"/>
      <c r="N148" s="612">
        <f>IFERROR(IF($E$120="Yes",(M$54*12*BenchFeePartner1)+((M$36*12*BenchFeePartner1)-N$120),0),0)</f>
        <v>0</v>
      </c>
      <c r="O148" s="250"/>
      <c r="P148" s="250"/>
      <c r="Q148" s="612">
        <f>IFERROR(IF($E$120="Yes",(P$54*12*BenchFeePartner1)+((P$36*12*BenchFeePartner1)-Q$120),0),0)</f>
        <v>0</v>
      </c>
      <c r="R148" s="249"/>
      <c r="S148" s="250"/>
      <c r="T148" s="612">
        <f>IFERROR(IF($E$120="Yes",(S$54*12*BenchFeePartner1)+((S$36*12*BenchFeePartner1)-T$120),0),0)</f>
        <v>0</v>
      </c>
      <c r="U148" s="249"/>
      <c r="V148" s="250"/>
      <c r="W148" s="612">
        <f>IFERROR(IF($E$120="Yes",(V$54*12*BenchFeePartner1)+((V$36*12*BenchFeePartner1)-W$120),0),0)</f>
        <v>0</v>
      </c>
      <c r="X148" s="249"/>
      <c r="Y148" s="250"/>
      <c r="Z148" s="612">
        <f>IFERROR(IF($E$120="Yes",(Y$54*12*BenchFeePartner1)+((Y$36*12*BenchFeePartner1)-Z$120),0),0)</f>
        <v>0</v>
      </c>
      <c r="AA148" s="249"/>
      <c r="AB148" s="250"/>
      <c r="AC148" s="612">
        <f>IFERROR(IF($E$120="Yes",(AB$54*12*BenchFeePartner1)+((AB$36*12*BenchFeePartner1)-AC$120),0),0)</f>
        <v>0</v>
      </c>
      <c r="AD148" s="249"/>
      <c r="AE148" s="250"/>
      <c r="AF148" s="612">
        <f>IFERROR(IF($E$120="Yes",(AE$54*12*BenchFeePartner1)+((AE$36*12*BenchFeePartner1)-AF$120),0),0)</f>
        <v>0</v>
      </c>
      <c r="AG148" s="249"/>
      <c r="AH148" s="250"/>
      <c r="AI148" s="612">
        <f>IFERROR(IF($E$120="Yes",(AH$54*12*BenchFeePartner1)+((AH$36*12*BenchFeePartner1)-AI$120),0),0)</f>
        <v>0</v>
      </c>
      <c r="AJ148" s="249"/>
      <c r="AK148" s="250"/>
      <c r="AL148" s="612">
        <f>IFERROR(IF($E$120="Yes",(AK$54*12*BenchFeePartner1)+((AK$36*12*BenchFeePartner1)-AL$120),0),0)</f>
        <v>0</v>
      </c>
      <c r="AM148" s="249"/>
      <c r="AN148" s="250"/>
      <c r="AO148" s="612">
        <f>IFERROR(IF($E$120="Yes",(AN$54*12*BenchFeePartner1)+((AN$36*12*BenchFeePartner1)-AO$120),0),0)</f>
        <v>0</v>
      </c>
      <c r="AP148" s="592"/>
      <c r="AQ148" s="250"/>
      <c r="AR148" s="81">
        <f t="shared" si="139"/>
        <v>0</v>
      </c>
    </row>
    <row r="149" spans="2:70" s="67" customFormat="1" outlineLevel="1" collapsed="1" x14ac:dyDescent="0.2">
      <c r="B149" s="441"/>
      <c r="C149" s="555"/>
      <c r="D149" s="538"/>
      <c r="E149" s="537"/>
      <c r="F149" s="537"/>
      <c r="G149" s="538"/>
      <c r="H149" s="538"/>
      <c r="I149" s="539"/>
      <c r="J149" s="539"/>
      <c r="K149" s="540" t="s">
        <v>100</v>
      </c>
      <c r="L149" s="541"/>
      <c r="M149" s="541"/>
      <c r="N149" s="542">
        <f>SUM(N123:N148)</f>
        <v>0</v>
      </c>
      <c r="O149" s="541"/>
      <c r="P149" s="541"/>
      <c r="Q149" s="542">
        <f>SUM(Q123:Q148)</f>
        <v>0</v>
      </c>
      <c r="R149" s="541"/>
      <c r="S149" s="541"/>
      <c r="T149" s="542">
        <f>SUM(T123:T148)</f>
        <v>0</v>
      </c>
      <c r="U149" s="541"/>
      <c r="V149" s="541"/>
      <c r="W149" s="542">
        <f>SUM(W123:W148)</f>
        <v>0</v>
      </c>
      <c r="X149" s="541"/>
      <c r="Y149" s="541"/>
      <c r="Z149" s="542">
        <f>SUM(Z123:Z148)</f>
        <v>0</v>
      </c>
      <c r="AA149" s="541"/>
      <c r="AB149" s="541"/>
      <c r="AC149" s="542">
        <f>SUM(AC123:AC148)</f>
        <v>0</v>
      </c>
      <c r="AD149" s="541"/>
      <c r="AE149" s="541"/>
      <c r="AF149" s="542">
        <f>SUM(AF123:AF148)</f>
        <v>0</v>
      </c>
      <c r="AG149" s="541"/>
      <c r="AH149" s="541"/>
      <c r="AI149" s="542">
        <f>SUM(AI123:AI148)</f>
        <v>0</v>
      </c>
      <c r="AJ149" s="541"/>
      <c r="AK149" s="541"/>
      <c r="AL149" s="542">
        <f>SUM(AL123:AL148)</f>
        <v>0</v>
      </c>
      <c r="AM149" s="541"/>
      <c r="AN149" s="541"/>
      <c r="AO149" s="542">
        <f>SUM(AO123:AO148)</f>
        <v>0</v>
      </c>
      <c r="AP149" s="556"/>
      <c r="AQ149" s="544"/>
      <c r="AR149" s="545">
        <f>SUM(N149:AO149)</f>
        <v>0</v>
      </c>
      <c r="AS149"/>
      <c r="AT149"/>
      <c r="AU149"/>
      <c r="AV149"/>
      <c r="AW149"/>
      <c r="AX149"/>
      <c r="AY149"/>
      <c r="AZ149"/>
      <c r="BA149"/>
      <c r="BB149"/>
      <c r="BC149"/>
      <c r="BD149"/>
      <c r="BE149"/>
      <c r="BF149"/>
      <c r="BG149"/>
      <c r="BH149"/>
      <c r="BI149"/>
      <c r="BJ149"/>
      <c r="BK149"/>
      <c r="BL149"/>
      <c r="BM149"/>
      <c r="BN149"/>
      <c r="BO149"/>
      <c r="BP149"/>
      <c r="BQ149"/>
      <c r="BR149"/>
    </row>
    <row r="150" spans="2:70" ht="25" customHeight="1" outlineLevel="1" thickBot="1" x14ac:dyDescent="0.3">
      <c r="B150" s="444" t="s">
        <v>101</v>
      </c>
      <c r="C150" s="445"/>
      <c r="D150" s="445"/>
      <c r="E150" s="446"/>
      <c r="F150" s="446"/>
      <c r="G150" s="445"/>
      <c r="H150" s="445"/>
      <c r="I150" s="447"/>
      <c r="J150" s="447"/>
      <c r="K150" s="448"/>
      <c r="L150" s="449"/>
      <c r="M150" s="450"/>
      <c r="N150" s="451">
        <f>N121</f>
        <v>275000</v>
      </c>
      <c r="O150" s="449"/>
      <c r="P150" s="450"/>
      <c r="Q150" s="451">
        <f>Q121</f>
        <v>340000</v>
      </c>
      <c r="R150" s="449"/>
      <c r="S150" s="450"/>
      <c r="T150" s="451">
        <f>T121</f>
        <v>410000</v>
      </c>
      <c r="U150" s="449"/>
      <c r="V150" s="450"/>
      <c r="W150" s="451">
        <f>W121</f>
        <v>240000</v>
      </c>
      <c r="X150" s="449"/>
      <c r="Y150" s="450"/>
      <c r="Z150" s="451">
        <f>Z121</f>
        <v>320000</v>
      </c>
      <c r="AA150" s="449"/>
      <c r="AB150" s="450"/>
      <c r="AC150" s="451">
        <f>AC121</f>
        <v>230000</v>
      </c>
      <c r="AD150" s="449"/>
      <c r="AE150" s="450"/>
      <c r="AF150" s="451">
        <f>AF121</f>
        <v>0</v>
      </c>
      <c r="AG150" s="449"/>
      <c r="AH150" s="450"/>
      <c r="AI150" s="451">
        <f>AI121</f>
        <v>0</v>
      </c>
      <c r="AJ150" s="449"/>
      <c r="AK150" s="450"/>
      <c r="AL150" s="451">
        <f>AL121</f>
        <v>0</v>
      </c>
      <c r="AM150" s="449"/>
      <c r="AN150" s="450"/>
      <c r="AO150" s="451">
        <f>AO121</f>
        <v>0</v>
      </c>
      <c r="AP150" s="452"/>
      <c r="AQ150" s="450"/>
      <c r="AR150" s="453">
        <f>AR121</f>
        <v>1815000</v>
      </c>
    </row>
    <row r="151" spans="2:70" ht="16.5" customHeight="1" outlineLevel="1" thickBot="1" x14ac:dyDescent="0.25">
      <c r="G151"/>
      <c r="N151"/>
      <c r="O151"/>
      <c r="P151"/>
      <c r="Q151"/>
      <c r="R151"/>
      <c r="S151"/>
      <c r="T151"/>
      <c r="U151"/>
      <c r="V151"/>
      <c r="W151"/>
      <c r="X151"/>
      <c r="Y151"/>
      <c r="Z151"/>
      <c r="AA151"/>
      <c r="AB151"/>
      <c r="AC151"/>
      <c r="AD151"/>
      <c r="AE151"/>
      <c r="AF151"/>
      <c r="AG151"/>
      <c r="AH151"/>
      <c r="AI151"/>
      <c r="AJ151"/>
      <c r="AK151"/>
      <c r="AL151"/>
      <c r="AM151"/>
      <c r="AN151"/>
      <c r="AO151"/>
      <c r="AP151"/>
      <c r="AQ151"/>
      <c r="AR151"/>
    </row>
    <row r="152" spans="2:70" s="69" customFormat="1" ht="25" customHeight="1" x14ac:dyDescent="0.25">
      <c r="B152" s="365" t="s">
        <v>102</v>
      </c>
      <c r="C152" s="366"/>
      <c r="D152" s="366"/>
      <c r="E152" s="367"/>
      <c r="F152" s="367"/>
      <c r="G152" s="368"/>
      <c r="H152" s="368"/>
      <c r="I152" s="369"/>
      <c r="J152" s="369"/>
      <c r="K152" s="369"/>
      <c r="L152" s="370"/>
      <c r="M152" s="370"/>
      <c r="N152" s="371"/>
      <c r="O152" s="370"/>
      <c r="P152" s="370"/>
      <c r="Q152" s="371"/>
      <c r="R152" s="370"/>
      <c r="S152" s="370"/>
      <c r="T152" s="371"/>
      <c r="U152" s="370"/>
      <c r="V152" s="370"/>
      <c r="W152" s="371"/>
      <c r="X152" s="370"/>
      <c r="Y152" s="370"/>
      <c r="Z152" s="371"/>
      <c r="AA152" s="370"/>
      <c r="AB152" s="370"/>
      <c r="AC152" s="371"/>
      <c r="AD152" s="370"/>
      <c r="AE152" s="370"/>
      <c r="AF152" s="371"/>
      <c r="AG152" s="370"/>
      <c r="AH152" s="370"/>
      <c r="AI152" s="371"/>
      <c r="AJ152" s="370"/>
      <c r="AK152" s="370"/>
      <c r="AL152" s="371"/>
      <c r="AM152" s="370"/>
      <c r="AN152" s="370"/>
      <c r="AO152" s="371"/>
      <c r="AP152" s="370"/>
      <c r="AQ152" s="370"/>
      <c r="AR152" s="372"/>
      <c r="AS152"/>
      <c r="AT152"/>
      <c r="AU152"/>
      <c r="AV152"/>
      <c r="AW152"/>
      <c r="AX152"/>
      <c r="AY152"/>
      <c r="AZ152"/>
      <c r="BA152"/>
      <c r="BB152"/>
      <c r="BC152"/>
      <c r="BD152"/>
      <c r="BE152"/>
      <c r="BF152"/>
      <c r="BG152"/>
      <c r="BH152"/>
      <c r="BI152"/>
      <c r="BJ152"/>
      <c r="BK152"/>
      <c r="BL152"/>
      <c r="BM152"/>
      <c r="BN152"/>
      <c r="BO152"/>
      <c r="BP152"/>
      <c r="BQ152"/>
      <c r="BR152"/>
    </row>
    <row r="153" spans="2:70" s="67" customFormat="1" ht="15" customHeight="1" x14ac:dyDescent="0.2">
      <c r="B153" s="364"/>
      <c r="C153" s="752" t="s">
        <v>103</v>
      </c>
      <c r="D153" s="753"/>
      <c r="E153" s="753"/>
      <c r="F153" s="403"/>
      <c r="G153" s="404"/>
      <c r="H153" s="404"/>
      <c r="I153" s="405"/>
      <c r="J153" s="405"/>
      <c r="K153" s="406"/>
      <c r="L153" s="407"/>
      <c r="M153" s="408"/>
      <c r="N153" s="409">
        <f>N92+N150</f>
        <v>1204348.3999999999</v>
      </c>
      <c r="O153" s="407"/>
      <c r="P153" s="408"/>
      <c r="Q153" s="409">
        <f>Q92+Q150</f>
        <v>2254457.7039999999</v>
      </c>
      <c r="R153" s="407"/>
      <c r="S153" s="408"/>
      <c r="T153" s="409">
        <f>T92+T150</f>
        <v>3016678.4039599998</v>
      </c>
      <c r="U153" s="407"/>
      <c r="V153" s="408"/>
      <c r="W153" s="409">
        <f>W92+W150</f>
        <v>2563185.2448971998</v>
      </c>
      <c r="X153" s="407"/>
      <c r="Y153" s="408"/>
      <c r="Z153" s="409">
        <f>Z92+Z150</f>
        <v>1666890.9904847117</v>
      </c>
      <c r="AA153" s="407"/>
      <c r="AB153" s="408"/>
      <c r="AC153" s="409">
        <f>AC92+AC150</f>
        <v>923648.86009962671</v>
      </c>
      <c r="AD153" s="407"/>
      <c r="AE153" s="408"/>
      <c r="AF153" s="409">
        <f>AF92+AF150</f>
        <v>0</v>
      </c>
      <c r="AG153" s="407"/>
      <c r="AH153" s="408"/>
      <c r="AI153" s="409">
        <f>AI92+AI150</f>
        <v>0</v>
      </c>
      <c r="AJ153" s="407"/>
      <c r="AK153" s="408"/>
      <c r="AL153" s="409">
        <f>AL92+AL150</f>
        <v>0</v>
      </c>
      <c r="AM153" s="407"/>
      <c r="AN153" s="408"/>
      <c r="AO153" s="409">
        <f>AO92+AO150</f>
        <v>0</v>
      </c>
      <c r="AP153" s="410"/>
      <c r="AQ153" s="411"/>
      <c r="AR153" s="412">
        <f>SUM(N153:AO153)</f>
        <v>11629209.603441538</v>
      </c>
      <c r="AS153"/>
      <c r="AT153"/>
      <c r="AU153"/>
      <c r="AV153"/>
      <c r="AW153"/>
      <c r="AX153"/>
      <c r="AY153"/>
      <c r="AZ153"/>
      <c r="BA153"/>
      <c r="BB153"/>
      <c r="BC153"/>
      <c r="BD153"/>
      <c r="BE153"/>
      <c r="BF153"/>
      <c r="BG153"/>
      <c r="BH153"/>
      <c r="BI153"/>
      <c r="BJ153"/>
      <c r="BK153"/>
      <c r="BL153"/>
      <c r="BM153"/>
      <c r="BN153"/>
      <c r="BO153"/>
      <c r="BP153"/>
      <c r="BQ153"/>
      <c r="BR153"/>
    </row>
    <row r="154" spans="2:70" s="69" customFormat="1" ht="15" customHeight="1" x14ac:dyDescent="0.2">
      <c r="B154" s="362"/>
      <c r="C154" s="746" t="s">
        <v>104</v>
      </c>
      <c r="D154" s="747"/>
      <c r="E154" s="747"/>
      <c r="F154" s="569"/>
      <c r="G154" s="569"/>
      <c r="H154" s="569"/>
      <c r="I154" s="569"/>
      <c r="J154" s="570"/>
      <c r="K154" s="571"/>
      <c r="L154" s="572">
        <f>SUMIF($K$20:$K$119,"Yes",N$20:N$119)+$C$173</f>
        <v>0</v>
      </c>
      <c r="M154" s="573">
        <f ca="1">IFERROR(L154/(IF($F$174="Yes",IF($F$177="Total",SUM(N153,N155),N153)-SUMIF($C$95:$E$119,"Equipment",N95:N119),IF($F$177="Total",SUM(N153,N155),N153))), 0)</f>
        <v>0</v>
      </c>
      <c r="N154" s="574"/>
      <c r="O154" s="572">
        <f>SUMIF($K$20:$K$119,"Yes",Q$20:Q$119)+$C$174</f>
        <v>0</v>
      </c>
      <c r="P154" s="573">
        <f ca="1">IFERROR(O154/(IF($F$174="Yes",IF($F$177="Total",SUM(Q153,Q155),Q153)-SUMIF($C$95:$E$119,"Equipment",Q95:Q119),IF($F$177="Total",SUM(Q153,Q155),Q153))), 0)</f>
        <v>0</v>
      </c>
      <c r="Q154" s="575"/>
      <c r="R154" s="572">
        <f>SUMIF($K$20:$K$119,"Yes",T$20:T$119)+$C$175</f>
        <v>0</v>
      </c>
      <c r="S154" s="573">
        <f ca="1">IFERROR(R154/(IF($F$174="Yes",IF($F$177="Total",SUM(T153,T155),T153)-SUMIF($C$95:$E$119,"Equipment",T95:T119),IF($F$177="Total",SUM(T153,T155),T153))), 0)</f>
        <v>0</v>
      </c>
      <c r="T154" s="575"/>
      <c r="U154" s="572">
        <f>SUMIF($K$20:$K$119,"Yes",W$20:W$119)+$C$176</f>
        <v>0</v>
      </c>
      <c r="V154" s="573">
        <f ca="1">IFERROR(U154/(IF($F$174="Yes",IF($F$177="Total",SUM(W153,W155),W153)-SUMIF($C$95:$E$119,"Equipment",W95:W119),IF($F$177="Total",SUM(W153,W155),W153))), 0)</f>
        <v>0</v>
      </c>
      <c r="W154" s="575"/>
      <c r="X154" s="572">
        <f>SUMIF($K$20:$K$119,"Yes",Z$20:Z$119)+$C$177</f>
        <v>0</v>
      </c>
      <c r="Y154" s="573">
        <f ca="1">IFERROR(X154/(IF($F$174="Yes",IF($F$177="Total",SUM(Z153,Z155),Z153)-SUMIF($C$95:$E$119,"Equipment",Z95:Z119),IF($F$177="Total",SUM(Z153,Z155),Z153))), 0)</f>
        <v>0</v>
      </c>
      <c r="Z154" s="575"/>
      <c r="AA154" s="572">
        <f>SUMIF($K$20:$K$119,"Yes",AC$20:AC$119)+$C$178</f>
        <v>0</v>
      </c>
      <c r="AB154" s="573">
        <f ca="1">IFERROR(AA154/(IF($F$174="Yes",IF($F$177="Total",SUM(AC153,AC155),AC153)-SUMIF($C$95:$E$119,"Equipment",AC95:AC119),IF($F$177="Total",SUM(AC153,AC155),AC153))), 0)</f>
        <v>0</v>
      </c>
      <c r="AC154" s="575"/>
      <c r="AD154" s="572">
        <f>SUMIF($K$20:$K$119,"Yes",AF$20:AF$119)+$C$179</f>
        <v>0</v>
      </c>
      <c r="AE154" s="573">
        <f ca="1">IFERROR(AD154/(IF($F$174="Yes",IF($F$177="Total",SUM(AF153,AF155),AF153)-SUMIF($C$95:$E$119,"Equipment",AF95:AF119),IF($F$177="Total",SUM(AF153,AF155),AF153))), 0)</f>
        <v>0</v>
      </c>
      <c r="AF154" s="575"/>
      <c r="AG154" s="572">
        <f>SUMIF($K$20:$K$119,"Yes",AI$20:AI$119)+$C$180</f>
        <v>0</v>
      </c>
      <c r="AH154" s="573">
        <f ca="1">IFERROR(AG154/(IF($F$174="Yes",IF($F$177="Total",SUM(AI153,AI155),AI153)-SUMIF($C$95:$E$119,"Equipment",AI95:AI119),IF($F$177="Total",SUM(AI153,AI155),AI153))), 0)</f>
        <v>0</v>
      </c>
      <c r="AI154" s="575"/>
      <c r="AJ154" s="572">
        <f>SUMIF($K$20:$K$119,"Yes",AL$20:AL$119)+$C$181</f>
        <v>0</v>
      </c>
      <c r="AK154" s="573">
        <f ca="1">IFERROR(AJ154/(IF($F$174="Yes",IF($F$177="Total",SUM(AL153,AL155),AL153)-SUMIF($C$95:$E$119,"Equipment",AL95:AL119),IF($F$177="Total",SUM(AL153,AL155),AL153))), 0)</f>
        <v>0</v>
      </c>
      <c r="AL154" s="575"/>
      <c r="AM154" s="572">
        <f>SUMIF($K$20:$K$119,"Yes",AO$20:AO$119)+$C$182</f>
        <v>0</v>
      </c>
      <c r="AN154" s="573">
        <f ca="1">IFERROR(AM154/(IF($F$174="Yes",IF($F$177="Total",SUM(AO153,AO155),AO153)-SUMIF($C$95:$E$119,"Equipment",AO95:AO119),IF($F$177="Total",SUM(AO153,AO155),AO153))), 0)</f>
        <v>0</v>
      </c>
      <c r="AO154" s="575"/>
      <c r="AP154" s="576">
        <f>SUM(L154,O154,R154,U154,X154,AA154,AD154,AG154,AJ154,AM154)</f>
        <v>0</v>
      </c>
      <c r="AQ154" s="573">
        <f ca="1">IFERROR(AP154/(IF($F$174="Yes",IF($F$177="Total",SUM(AR153,AR155),AR153)-SUMIF($C$95:$E$119,"Equipment",AR95:AR119),IF($F$177="Total",SUM(AR153,AR155),AR153))), 0)</f>
        <v>0</v>
      </c>
      <c r="AR154" s="577"/>
      <c r="AS154"/>
      <c r="AT154"/>
      <c r="AU154"/>
      <c r="AV154"/>
      <c r="AW154"/>
      <c r="AX154"/>
      <c r="AY154"/>
      <c r="AZ154"/>
      <c r="BA154"/>
      <c r="BB154"/>
      <c r="BC154"/>
      <c r="BD154"/>
      <c r="BE154"/>
      <c r="BF154"/>
      <c r="BG154"/>
      <c r="BH154"/>
      <c r="BI154"/>
      <c r="BJ154"/>
      <c r="BK154"/>
      <c r="BL154"/>
      <c r="BM154"/>
      <c r="BN154"/>
      <c r="BO154"/>
      <c r="BP154"/>
      <c r="BQ154"/>
      <c r="BR154"/>
    </row>
    <row r="155" spans="2:70" s="69" customFormat="1" ht="15" customHeight="1" x14ac:dyDescent="0.2">
      <c r="B155" s="363"/>
      <c r="C155" s="748" t="s">
        <v>105</v>
      </c>
      <c r="D155" s="749"/>
      <c r="E155" s="749"/>
      <c r="F155" s="415"/>
      <c r="G155" s="416"/>
      <c r="H155" s="416"/>
      <c r="I155" s="413"/>
      <c r="J155" s="413"/>
      <c r="K155" s="414"/>
      <c r="L155" s="407"/>
      <c r="M155" s="417">
        <f>IFERROR((N155/IF($F$180="Total",SUM(N153,N155),N153)), "")</f>
        <v>0.23743969348371774</v>
      </c>
      <c r="N155" s="418" cm="1">
        <f t="array" ref="N155">IF(
OR(Foundation=Project_supplement_foundations)*AND(OR(InstitutionPartner1=Project_supplement_institutions)),
SUMPRODUCT($G$20:$G$35,$H$20:$H$35,L$20:L$35)/12*ProjectSupplementPartner1,0
)</f>
        <v>375000</v>
      </c>
      <c r="O155" s="407"/>
      <c r="P155" s="417">
        <f>IFERROR((Q155/IF($F$180="Total",SUM(Q153,Q155),Q153)), "")</f>
        <v>0.24962907582339525</v>
      </c>
      <c r="Q155" s="418" cm="1">
        <f t="array" ref="Q155">IF(
OR(Foundation=Project_supplement_foundations)*AND(OR(InstitutionPartner1=Project_supplement_institutions)),
SUMPRODUCT($G$20:$G$35,$H$20:$H$35,O$20:O$35)/12*ProjectSupplementPartner1,0
)</f>
        <v>750000</v>
      </c>
      <c r="R155" s="407"/>
      <c r="S155" s="417">
        <f>IFERROR((T155/IF($F$180="Total",SUM(T153,T155),T153)), "")</f>
        <v>0.24896192809812975</v>
      </c>
      <c r="T155" s="418" cm="1">
        <f t="array" ref="T155">IF(
OR(Foundation=Project_supplement_foundations)*AND(OR(InstitutionPartner1=Project_supplement_institutions)),
SUMPRODUCT($G$20:$G$35,$H$20:$H$35,R$20:R$35)/12*ProjectSupplementPartner1,0
)</f>
        <v>1000000</v>
      </c>
      <c r="U155" s="407"/>
      <c r="V155" s="417">
        <f>IFERROR((W155/IF($F$180="Total",SUM(W153,W155),W153)), "")</f>
        <v>0.25449472255709193</v>
      </c>
      <c r="W155" s="418" cm="1">
        <f t="array" ref="W155">IF(
OR(Foundation=Project_supplement_foundations)*AND(OR(InstitutionPartner1=Project_supplement_institutions)),
SUMPRODUCT($G$20:$G$35,$H$20:$H$35,U$20:U$35)/12*ProjectSupplementPartner1,0
)</f>
        <v>875000</v>
      </c>
      <c r="X155" s="407"/>
      <c r="Y155" s="417">
        <f>IFERROR((Z155/IF($F$180="Total",SUM(Z153,Z155),Z153)), "")</f>
        <v>0.23074534076499853</v>
      </c>
      <c r="Z155" s="418" cm="1">
        <f t="array" ref="Z155">IF(
OR(Foundation=Project_supplement_foundations)*AND(OR(InstitutionPartner1=Project_supplement_institutions)),
SUMPRODUCT($G$20:$G$35,$H$20:$H$35,X$20:X$35)/12*ProjectSupplementPartner1,0
)</f>
        <v>500000</v>
      </c>
      <c r="AA155" s="407"/>
      <c r="AB155" s="417">
        <f>IFERROR((AC155/IF($F$180="Total",SUM(AC153,AC155),AC153)), "")</f>
        <v>0.21301090002232731</v>
      </c>
      <c r="AC155" s="418" cm="1">
        <f t="array" ref="AC155">IF(
OR(Foundation=Project_supplement_foundations)*AND(OR(InstitutionPartner1=Project_supplement_institutions)),
SUMPRODUCT($G$20:$G$35,$H$20:$H$35,AA$20:AA$35)/12*ProjectSupplementPartner1,0
)</f>
        <v>250000</v>
      </c>
      <c r="AD155" s="407"/>
      <c r="AE155" s="417" t="str">
        <f>IFERROR((AF155/IF($F$180="Total",SUM(AF153,AF155),AF153)), "")</f>
        <v/>
      </c>
      <c r="AF155" s="418" cm="1">
        <f t="array" ref="AF155">IF(
OR(Foundation=Project_supplement_foundations)*AND(OR(InstitutionPartner1=Project_supplement_institutions)),
SUMPRODUCT($G$20:$G$35,$H$20:$H$35,AD$20:AD$35)/12*ProjectSupplementPartner1,0
)</f>
        <v>0</v>
      </c>
      <c r="AG155" s="407"/>
      <c r="AH155" s="417" t="str">
        <f>IFERROR((AI155/IF($F$180="Total",SUM(AI153,AI155),AI153)), "")</f>
        <v/>
      </c>
      <c r="AI155" s="418" cm="1">
        <f t="array" ref="AI155">IF(
OR(Foundation=Project_supplement_foundations)*AND(OR(InstitutionPartner1=Project_supplement_institutions)),
SUMPRODUCT($G$20:$G$35,$H$20:$H$35,AG$20:AG$35)/12*ProjectSupplementPartner1,0
)</f>
        <v>0</v>
      </c>
      <c r="AJ155" s="407"/>
      <c r="AK155" s="417" t="str">
        <f>IFERROR((AL155/IF($F$180="Total",SUM(AL153,AL155),AL153)), "")</f>
        <v/>
      </c>
      <c r="AL155" s="418" cm="1">
        <f t="array" ref="AL155">IF(
OR(Foundation=Project_supplement_foundations)*AND(OR(InstitutionPartner1=Project_supplement_institutions)),
SUMPRODUCT($G$20:$G$35,$H$20:$H$35,AJ$20:AJ$35)/12*ProjectSupplementPartner1,0
)</f>
        <v>0</v>
      </c>
      <c r="AM155" s="407"/>
      <c r="AN155" s="417" t="str">
        <f>IFERROR((AO155/IF($F$180="Total",SUM(AO153,AO155),AO153)), "")</f>
        <v/>
      </c>
      <c r="AO155" s="418" cm="1">
        <f t="array" ref="AO155">IF(
OR(Foundation=Project_supplement_foundations)*AND(OR(InstitutionPartner1=Project_supplement_institutions)),
SUMPRODUCT($G$20:$G$35,$H$20:$H$35,AM$20:AM$35)/12*ProjectSupplementPartner1,0
)</f>
        <v>0</v>
      </c>
      <c r="AP155" s="419"/>
      <c r="AQ155" s="417">
        <f>IFERROR((AR155/IF($F$180="Total",SUM(AR153,AR155),AR153)), "")</f>
        <v>0.24383567795062955</v>
      </c>
      <c r="AR155" s="412">
        <f>SUM(N155,Q155,T155,W155,Z155,AC155,AF155,AI155,AL155,AO155)</f>
        <v>3750000</v>
      </c>
      <c r="AS155"/>
      <c r="AT155"/>
      <c r="AU155"/>
      <c r="AV155"/>
      <c r="AW155"/>
      <c r="AX155"/>
      <c r="AY155"/>
      <c r="AZ155"/>
      <c r="BA155"/>
      <c r="BB155"/>
      <c r="BC155"/>
      <c r="BD155"/>
      <c r="BE155"/>
      <c r="BF155"/>
      <c r="BG155"/>
      <c r="BH155"/>
      <c r="BI155"/>
      <c r="BJ155"/>
      <c r="BK155"/>
      <c r="BL155"/>
      <c r="BM155"/>
      <c r="BN155"/>
      <c r="BO155"/>
      <c r="BP155"/>
      <c r="BQ155"/>
      <c r="BR155"/>
    </row>
    <row r="156" spans="2:70" s="69" customFormat="1" ht="15" customHeight="1" x14ac:dyDescent="0.2">
      <c r="B156" s="362"/>
      <c r="C156" s="750" t="str">
        <f>$B$13</f>
        <v>Administrative expenses</v>
      </c>
      <c r="D156" s="751"/>
      <c r="E156" s="751"/>
      <c r="F156" s="420"/>
      <c r="G156" s="421"/>
      <c r="H156" s="421"/>
      <c r="I156" s="422"/>
      <c r="J156" s="422"/>
      <c r="K156" s="423"/>
      <c r="L156" s="407"/>
      <c r="M156" s="424" t="str">
        <f>IF(OHPctPartner1&gt;0,OHPctPartner1,"")</f>
        <v/>
      </c>
      <c r="N156" s="425">
        <f>IFERROR(IF(OHPctPartner1&gt;0,OHPctPartner1*N153,0),0)</f>
        <v>0</v>
      </c>
      <c r="O156" s="407"/>
      <c r="P156" s="424" t="str">
        <f>IF(OHPctPartner1&gt;0,OHPctPartner1,"")</f>
        <v/>
      </c>
      <c r="Q156" s="425">
        <f>IFERROR(IF(OHPctPartner1&gt;0,OHPctPartner1*Q153,0),0)</f>
        <v>0</v>
      </c>
      <c r="R156" s="407"/>
      <c r="S156" s="424" t="str">
        <f>IF(OHPctPartner1&gt;0,OHPctPartner1,"")</f>
        <v/>
      </c>
      <c r="T156" s="425">
        <f>IFERROR(IF(OHPctPartner1&gt;0,OHPctPartner1*T153,0),0)</f>
        <v>0</v>
      </c>
      <c r="U156" s="407"/>
      <c r="V156" s="424" t="str">
        <f>IF(OHPctPartner1&gt;0,OHPctPartner1,"")</f>
        <v/>
      </c>
      <c r="W156" s="425">
        <f>IFERROR(IF(OHPctPartner1&gt;0,OHPctPartner1*W153,0),0)</f>
        <v>0</v>
      </c>
      <c r="X156" s="407"/>
      <c r="Y156" s="424" t="str">
        <f>IF(OHPctPartner1&gt;0,OHPctPartner1,"")</f>
        <v/>
      </c>
      <c r="Z156" s="425">
        <f>IFERROR(IF(OHPctPartner1&gt;0,OHPctPartner1*Z153,0),0)</f>
        <v>0</v>
      </c>
      <c r="AA156" s="407"/>
      <c r="AB156" s="424" t="str">
        <f>IF(OHPctPartner1&gt;0,OHPctPartner1,"")</f>
        <v/>
      </c>
      <c r="AC156" s="425">
        <f>IFERROR(IF(OHPctPartner1&gt;0,OHPctPartner1*AC153,0),0)</f>
        <v>0</v>
      </c>
      <c r="AD156" s="407"/>
      <c r="AE156" s="424" t="str">
        <f>IF(OHPctPartner1&gt;0,OHPctPartner1,"")</f>
        <v/>
      </c>
      <c r="AF156" s="425">
        <f>IFERROR(IF(OHPctPartner1&gt;0,OHPctPartner1*AF153,0),0)</f>
        <v>0</v>
      </c>
      <c r="AG156" s="407"/>
      <c r="AH156" s="424" t="str">
        <f>IF(OHPctPartner1&gt;0,OHPctPartner1,"")</f>
        <v/>
      </c>
      <c r="AI156" s="425">
        <f>IFERROR(IF(OHPctPartner1&gt;0,OHPctPartner1*AI153,0),0)</f>
        <v>0</v>
      </c>
      <c r="AJ156" s="407"/>
      <c r="AK156" s="424" t="str">
        <f>IF(OHPctPartner1&gt;0,OHPctPartner1,"")</f>
        <v/>
      </c>
      <c r="AL156" s="425">
        <f>IFERROR(IF(OHPctPartner1&gt;0,OHPctPartner1*AL153,0),0)</f>
        <v>0</v>
      </c>
      <c r="AM156" s="407"/>
      <c r="AN156" s="424" t="str">
        <f>IF(OHPctPartner1&gt;0,OHPctPartner1,"")</f>
        <v/>
      </c>
      <c r="AO156" s="425">
        <f>IFERROR(IF(OHPctPartner1&gt;0,OHPctPartner1*AO153,0),0)</f>
        <v>0</v>
      </c>
      <c r="AP156" s="419"/>
      <c r="AQ156" s="426" t="str">
        <f>IF(OHPctPartner1&gt;0,OHPctPartner1,"")</f>
        <v/>
      </c>
      <c r="AR156" s="412">
        <f>SUM(N156,Q156,T156,W156,Z156,AC156,AF156,AI156,AL156,AO156)</f>
        <v>0</v>
      </c>
      <c r="AS156"/>
      <c r="AT156"/>
      <c r="AU156"/>
      <c r="AV156"/>
      <c r="AW156"/>
      <c r="AX156"/>
      <c r="AY156"/>
      <c r="AZ156"/>
      <c r="BA156"/>
      <c r="BB156"/>
      <c r="BC156"/>
      <c r="BD156"/>
      <c r="BE156"/>
      <c r="BF156"/>
      <c r="BG156"/>
      <c r="BH156"/>
      <c r="BI156"/>
      <c r="BJ156"/>
      <c r="BK156"/>
      <c r="BL156"/>
      <c r="BM156"/>
      <c r="BN156"/>
      <c r="BO156"/>
      <c r="BP156"/>
      <c r="BQ156"/>
      <c r="BR156"/>
    </row>
    <row r="157" spans="2:70" s="3" customFormat="1" ht="25" customHeight="1" thickBot="1" x14ac:dyDescent="0.3">
      <c r="B157" s="351" t="s">
        <v>106</v>
      </c>
      <c r="C157" s="352"/>
      <c r="D157" s="352"/>
      <c r="E157" s="353"/>
      <c r="F157" s="353"/>
      <c r="G157" s="354"/>
      <c r="H157" s="354"/>
      <c r="I157" s="355"/>
      <c r="J157" s="355"/>
      <c r="K157" s="356"/>
      <c r="L157" s="357"/>
      <c r="M157" s="358"/>
      <c r="N157" s="359">
        <f>SUM(N153:N156)</f>
        <v>1579348.4</v>
      </c>
      <c r="O157" s="357"/>
      <c r="P157" s="358"/>
      <c r="Q157" s="359">
        <f>SUM(Q153:Q156)</f>
        <v>3004457.7039999999</v>
      </c>
      <c r="R157" s="357"/>
      <c r="S157" s="358"/>
      <c r="T157" s="359">
        <f>SUM(T153:T156)</f>
        <v>4016678.4039599998</v>
      </c>
      <c r="U157" s="357"/>
      <c r="V157" s="358"/>
      <c r="W157" s="359">
        <f>SUM(W153:W156)</f>
        <v>3438185.2448971998</v>
      </c>
      <c r="X157" s="357"/>
      <c r="Y157" s="358"/>
      <c r="Z157" s="359">
        <f>SUM(Z153:Z156)</f>
        <v>2166890.9904847117</v>
      </c>
      <c r="AA157" s="357"/>
      <c r="AB157" s="358"/>
      <c r="AC157" s="359">
        <f>SUM(AC153:AC156)</f>
        <v>1173648.8600996267</v>
      </c>
      <c r="AD157" s="357"/>
      <c r="AE157" s="358"/>
      <c r="AF157" s="359">
        <f>SUM(AF153:AF156)</f>
        <v>0</v>
      </c>
      <c r="AG157" s="357"/>
      <c r="AH157" s="358"/>
      <c r="AI157" s="359">
        <f>SUM(AI153:AI156)</f>
        <v>0</v>
      </c>
      <c r="AJ157" s="357"/>
      <c r="AK157" s="358"/>
      <c r="AL157" s="359">
        <f>SUM(AL153:AL156)</f>
        <v>0</v>
      </c>
      <c r="AM157" s="357"/>
      <c r="AN157" s="358"/>
      <c r="AO157" s="360">
        <f>SUM(AO153:AO156)</f>
        <v>0</v>
      </c>
      <c r="AP157" s="361"/>
      <c r="AQ157" s="358"/>
      <c r="AR157" s="360">
        <f>SUM(L157:AO157)</f>
        <v>15379209.603441538</v>
      </c>
      <c r="AS157"/>
      <c r="AT157"/>
      <c r="AU157"/>
      <c r="AV157"/>
      <c r="AW157"/>
      <c r="AX157"/>
      <c r="AY157"/>
      <c r="AZ157"/>
      <c r="BA157"/>
      <c r="BB157"/>
      <c r="BC157"/>
      <c r="BD157"/>
      <c r="BE157"/>
      <c r="BF157"/>
      <c r="BG157"/>
      <c r="BH157"/>
      <c r="BI157"/>
      <c r="BJ157"/>
      <c r="BK157"/>
      <c r="BL157"/>
      <c r="BM157"/>
      <c r="BN157"/>
      <c r="BO157"/>
      <c r="BP157"/>
      <c r="BQ157"/>
      <c r="BR157"/>
    </row>
    <row r="158" spans="2:70" ht="12.75" customHeight="1" thickTop="1" thickBot="1" x14ac:dyDescent="0.25">
      <c r="G158"/>
      <c r="N158"/>
      <c r="O158"/>
      <c r="P158"/>
      <c r="Q158"/>
      <c r="R158"/>
      <c r="S158"/>
      <c r="T158"/>
      <c r="U158"/>
      <c r="V158"/>
      <c r="W158"/>
      <c r="X158"/>
      <c r="Y158"/>
      <c r="Z158"/>
      <c r="AA158"/>
      <c r="AB158"/>
      <c r="AC158"/>
      <c r="AD158"/>
      <c r="AE158"/>
      <c r="AF158"/>
      <c r="AG158"/>
      <c r="AH158"/>
      <c r="AI158"/>
      <c r="AJ158"/>
      <c r="AK158"/>
      <c r="AL158"/>
      <c r="AM158"/>
      <c r="AN158"/>
      <c r="AO158"/>
      <c r="AP158"/>
      <c r="AQ158"/>
      <c r="AR158"/>
    </row>
    <row r="159" spans="2:70" ht="25" customHeight="1" x14ac:dyDescent="0.25">
      <c r="B159" s="744" t="s">
        <v>107</v>
      </c>
      <c r="C159" s="745"/>
      <c r="D159" s="745"/>
      <c r="E159" s="745"/>
      <c r="F159" s="194"/>
      <c r="G159" s="195"/>
      <c r="H159" s="195"/>
      <c r="I159" s="196"/>
      <c r="J159" s="196"/>
      <c r="K159" s="305"/>
      <c r="L159" s="197"/>
      <c r="M159" s="197"/>
      <c r="N159" s="198"/>
      <c r="O159" s="197"/>
      <c r="P159" s="197"/>
      <c r="Q159" s="198"/>
      <c r="R159" s="197"/>
      <c r="S159" s="197"/>
      <c r="T159" s="198"/>
      <c r="U159" s="197"/>
      <c r="V159" s="197"/>
      <c r="W159" s="198"/>
      <c r="X159" s="197"/>
      <c r="Y159" s="197"/>
      <c r="Z159" s="198"/>
      <c r="AA159" s="197"/>
      <c r="AB159" s="197"/>
      <c r="AC159" s="198"/>
      <c r="AD159" s="197"/>
      <c r="AE159" s="197"/>
      <c r="AF159" s="198"/>
      <c r="AG159" s="197"/>
      <c r="AH159" s="197"/>
      <c r="AI159" s="198"/>
      <c r="AJ159" s="197"/>
      <c r="AK159" s="197"/>
      <c r="AL159" s="198"/>
      <c r="AM159" s="197"/>
      <c r="AN159" s="197"/>
      <c r="AO159" s="198"/>
      <c r="AP159" s="197"/>
      <c r="AQ159" s="197"/>
      <c r="AR159" s="199"/>
    </row>
    <row r="160" spans="2:70" s="69" customFormat="1" ht="15" customHeight="1" x14ac:dyDescent="0.2">
      <c r="B160" s="193"/>
      <c r="C160" s="738" t="s">
        <v>108</v>
      </c>
      <c r="D160" s="739"/>
      <c r="E160" s="739"/>
      <c r="F160" s="211"/>
      <c r="G160" s="212"/>
      <c r="H160" s="212"/>
      <c r="I160" s="213"/>
      <c r="J160" s="213"/>
      <c r="K160" s="214"/>
      <c r="L160" s="203"/>
      <c r="M160" s="215"/>
      <c r="N160" s="216">
        <f>N54</f>
        <v>0</v>
      </c>
      <c r="O160" s="203"/>
      <c r="P160" s="215"/>
      <c r="Q160" s="216">
        <f>Q54</f>
        <v>0</v>
      </c>
      <c r="R160" s="203"/>
      <c r="S160" s="215"/>
      <c r="T160" s="216">
        <f>T54</f>
        <v>0</v>
      </c>
      <c r="U160" s="203"/>
      <c r="V160" s="215"/>
      <c r="W160" s="216">
        <f>W54</f>
        <v>0</v>
      </c>
      <c r="X160" s="203"/>
      <c r="Y160" s="215"/>
      <c r="Z160" s="216">
        <f>Z54</f>
        <v>0</v>
      </c>
      <c r="AA160" s="206"/>
      <c r="AB160" s="206"/>
      <c r="AC160" s="216">
        <f>AC54</f>
        <v>0</v>
      </c>
      <c r="AD160" s="206"/>
      <c r="AE160" s="206"/>
      <c r="AF160" s="216">
        <f>AF54</f>
        <v>0</v>
      </c>
      <c r="AG160" s="206"/>
      <c r="AH160" s="206"/>
      <c r="AI160" s="216">
        <f>AI54</f>
        <v>0</v>
      </c>
      <c r="AJ160" s="206"/>
      <c r="AK160" s="206"/>
      <c r="AL160" s="216">
        <f>AL54</f>
        <v>0</v>
      </c>
      <c r="AM160" s="206"/>
      <c r="AN160" s="206"/>
      <c r="AO160" s="216">
        <f>AO54</f>
        <v>0</v>
      </c>
      <c r="AP160" s="217"/>
      <c r="AQ160" s="213"/>
      <c r="AR160" s="218">
        <f>SUM(N160:AO160)</f>
        <v>0</v>
      </c>
      <c r="AS160"/>
      <c r="AT160"/>
      <c r="AU160"/>
      <c r="AV160"/>
      <c r="AW160"/>
      <c r="AX160"/>
      <c r="AY160"/>
      <c r="AZ160"/>
      <c r="BA160"/>
      <c r="BB160"/>
      <c r="BC160"/>
      <c r="BD160"/>
      <c r="BE160"/>
      <c r="BF160"/>
      <c r="BG160"/>
      <c r="BH160"/>
      <c r="BI160"/>
      <c r="BJ160"/>
      <c r="BK160"/>
      <c r="BL160"/>
      <c r="BM160"/>
      <c r="BN160"/>
      <c r="BO160"/>
      <c r="BP160"/>
      <c r="BQ160"/>
      <c r="BR160"/>
    </row>
    <row r="161" spans="2:70" s="69" customFormat="1" ht="15" customHeight="1" x14ac:dyDescent="0.2">
      <c r="B161" s="193"/>
      <c r="C161" s="740" t="s">
        <v>109</v>
      </c>
      <c r="D161" s="741"/>
      <c r="E161" s="741"/>
      <c r="F161" s="211"/>
      <c r="G161" s="212"/>
      <c r="H161" s="212"/>
      <c r="I161" s="213"/>
      <c r="J161" s="213"/>
      <c r="K161" s="214"/>
      <c r="L161" s="203"/>
      <c r="M161" s="215"/>
      <c r="N161" s="216">
        <f>N90</f>
        <v>0</v>
      </c>
      <c r="O161" s="203"/>
      <c r="P161" s="215"/>
      <c r="Q161" s="216">
        <f>Q90</f>
        <v>0</v>
      </c>
      <c r="R161" s="203"/>
      <c r="S161" s="215"/>
      <c r="T161" s="216">
        <f>T90</f>
        <v>0</v>
      </c>
      <c r="U161" s="203"/>
      <c r="V161" s="215"/>
      <c r="W161" s="216">
        <f>W90</f>
        <v>0</v>
      </c>
      <c r="X161" s="203"/>
      <c r="Y161" s="215"/>
      <c r="Z161" s="216">
        <f>Z90</f>
        <v>0</v>
      </c>
      <c r="AA161" s="206"/>
      <c r="AB161" s="206"/>
      <c r="AC161" s="216">
        <f>AC90</f>
        <v>0</v>
      </c>
      <c r="AD161" s="206"/>
      <c r="AE161" s="206"/>
      <c r="AF161" s="216">
        <f>AF90</f>
        <v>0</v>
      </c>
      <c r="AG161" s="206"/>
      <c r="AH161" s="206"/>
      <c r="AI161" s="216">
        <f>AI90</f>
        <v>0</v>
      </c>
      <c r="AJ161" s="206"/>
      <c r="AK161" s="206"/>
      <c r="AL161" s="216">
        <f>AL90</f>
        <v>0</v>
      </c>
      <c r="AM161" s="206"/>
      <c r="AN161" s="206"/>
      <c r="AO161" s="216">
        <f>AO90</f>
        <v>0</v>
      </c>
      <c r="AP161" s="217"/>
      <c r="AQ161" s="213"/>
      <c r="AR161" s="218">
        <f>SUM(N161:AO161)</f>
        <v>0</v>
      </c>
      <c r="AS161"/>
      <c r="AT161"/>
      <c r="AU161"/>
      <c r="AV161"/>
      <c r="AW161"/>
      <c r="AX161"/>
      <c r="AY161"/>
      <c r="AZ161"/>
      <c r="BA161"/>
      <c r="BB161"/>
      <c r="BC161"/>
      <c r="BD161"/>
      <c r="BE161"/>
      <c r="BF161"/>
      <c r="BG161"/>
      <c r="BH161"/>
      <c r="BI161"/>
      <c r="BJ161"/>
      <c r="BK161"/>
      <c r="BL161"/>
      <c r="BM161"/>
      <c r="BN161"/>
      <c r="BO161"/>
      <c r="BP161"/>
      <c r="BQ161"/>
      <c r="BR161"/>
    </row>
    <row r="162" spans="2:70" s="69" customFormat="1" ht="15" customHeight="1" x14ac:dyDescent="0.2">
      <c r="B162" s="296"/>
      <c r="C162" s="292" t="s">
        <v>110</v>
      </c>
      <c r="D162" s="295"/>
      <c r="E162" s="295"/>
      <c r="F162" s="211"/>
      <c r="G162" s="212"/>
      <c r="H162" s="212"/>
      <c r="I162" s="213"/>
      <c r="J162" s="213"/>
      <c r="K162" s="214"/>
      <c r="L162" s="215"/>
      <c r="M162" s="215"/>
      <c r="N162" s="216">
        <f>N149</f>
        <v>0</v>
      </c>
      <c r="O162" s="203"/>
      <c r="P162" s="215"/>
      <c r="Q162" s="216">
        <f>Q149</f>
        <v>0</v>
      </c>
      <c r="R162" s="203"/>
      <c r="S162" s="215"/>
      <c r="T162" s="216">
        <f>T149</f>
        <v>0</v>
      </c>
      <c r="U162" s="203"/>
      <c r="V162" s="215"/>
      <c r="W162" s="216">
        <f>W149</f>
        <v>0</v>
      </c>
      <c r="X162" s="215"/>
      <c r="Y162" s="215"/>
      <c r="Z162" s="216">
        <f>Z149</f>
        <v>0</v>
      </c>
      <c r="AA162" s="206"/>
      <c r="AB162" s="206"/>
      <c r="AC162" s="216">
        <f>AC149</f>
        <v>0</v>
      </c>
      <c r="AD162" s="206"/>
      <c r="AE162" s="206"/>
      <c r="AF162" s="216">
        <f>AF149</f>
        <v>0</v>
      </c>
      <c r="AG162" s="206"/>
      <c r="AH162" s="206"/>
      <c r="AI162" s="216">
        <f>AI149</f>
        <v>0</v>
      </c>
      <c r="AJ162" s="206"/>
      <c r="AK162" s="206"/>
      <c r="AL162" s="216">
        <f>AL149</f>
        <v>0</v>
      </c>
      <c r="AM162" s="206"/>
      <c r="AN162" s="206"/>
      <c r="AO162" s="216">
        <f>AO149</f>
        <v>0</v>
      </c>
      <c r="AP162" s="217"/>
      <c r="AQ162" s="213"/>
      <c r="AR162" s="218">
        <f>SUM(N162:AO162)</f>
        <v>0</v>
      </c>
      <c r="AS162"/>
      <c r="AT162"/>
      <c r="AU162"/>
      <c r="AV162"/>
      <c r="AW162"/>
      <c r="AX162"/>
      <c r="AY162"/>
      <c r="AZ162"/>
      <c r="BA162"/>
      <c r="BB162"/>
      <c r="BC162"/>
      <c r="BD162"/>
      <c r="BE162"/>
      <c r="BF162"/>
      <c r="BG162"/>
      <c r="BH162"/>
      <c r="BI162"/>
      <c r="BJ162"/>
      <c r="BK162"/>
      <c r="BL162"/>
      <c r="BM162"/>
      <c r="BN162"/>
      <c r="BO162"/>
      <c r="BP162"/>
      <c r="BQ162"/>
      <c r="BR162"/>
    </row>
    <row r="163" spans="2:70" s="69" customFormat="1" ht="15" customHeight="1" x14ac:dyDescent="0.2">
      <c r="B163" s="193"/>
      <c r="C163" s="742" t="str">
        <f>$B$13&amp;" co-financing"</f>
        <v>Administrative expenses co-financing</v>
      </c>
      <c r="D163" s="743"/>
      <c r="E163" s="743"/>
      <c r="F163" s="176">
        <f>OHPctPartner1</f>
        <v>0</v>
      </c>
      <c r="G163" s="200"/>
      <c r="H163" s="200"/>
      <c r="I163" s="201"/>
      <c r="J163" s="201"/>
      <c r="K163" s="202"/>
      <c r="L163" s="203"/>
      <c r="M163" s="204" t="str">
        <f>IF(OHPctCoFinancePartner1&gt;0,OHPctCoFinancePartner1,"")</f>
        <v/>
      </c>
      <c r="N163" s="205">
        <f>IFERROR(IF(OHPctCoFinancePartner1&gt;0,OHPctCoFinancePartner1*SUM(N160:N162),0),0)</f>
        <v>0</v>
      </c>
      <c r="O163" s="203"/>
      <c r="P163" s="204" t="str">
        <f>IF(OHPctCoFinancePartner1&gt;0,OHPctCoFinancePartner1,"")</f>
        <v/>
      </c>
      <c r="Q163" s="205">
        <f>IFERROR(IF(OHPctCoFinancePartner1&gt;0,OHPctCoFinancePartner1*SUM(Q160:Q162),0),0)</f>
        <v>0</v>
      </c>
      <c r="R163" s="203"/>
      <c r="S163" s="204" t="str">
        <f>IF(OHPctCoFinancePartner1&gt;0,OHPctCoFinancePartner1,"")</f>
        <v/>
      </c>
      <c r="T163" s="205">
        <f>IFERROR(IF(OHPctCoFinancePartner1&gt;0,OHPctCoFinancePartner1*SUM(T160:T162),0),0)</f>
        <v>0</v>
      </c>
      <c r="U163" s="203"/>
      <c r="V163" s="204" t="str">
        <f>IF(OHPctCoFinancePartner1&gt;0,OHPctCoFinancePartner1,"")</f>
        <v/>
      </c>
      <c r="W163" s="205">
        <f>IFERROR(IF(OHPctCoFinancePartner1&gt;0,OHPctCoFinancePartner1*SUM(W160:W162),0),0)</f>
        <v>0</v>
      </c>
      <c r="X163" s="206"/>
      <c r="Y163" s="207" t="str">
        <f>IF(OHPctCoFinancePartner1&gt;0,OHPctCoFinancePartner1,"")</f>
        <v/>
      </c>
      <c r="Z163" s="205">
        <f>IFERROR(IF(OHPctCoFinancePartner1&gt;0,OHPctCoFinancePartner1*SUM(Z160:Z162),0),0)</f>
        <v>0</v>
      </c>
      <c r="AA163" s="206"/>
      <c r="AB163" s="207" t="str">
        <f>IF(OHPctCoFinancePartner1&gt;0,OHPctCoFinancePartner1,"")</f>
        <v/>
      </c>
      <c r="AC163" s="205">
        <f>IFERROR(IF(OHPctCoFinancePartner1&gt;0,OHPctCoFinancePartner1*SUM(AC160:AC162),0),0)</f>
        <v>0</v>
      </c>
      <c r="AD163" s="206"/>
      <c r="AE163" s="207" t="str">
        <f>IF(OHPctCoFinancePartner1&gt;0,OHPctCoFinancePartner1,"")</f>
        <v/>
      </c>
      <c r="AF163" s="205">
        <f>IFERROR(IF(OHPctCoFinancePartner1&gt;0,OHPctCoFinancePartner1*SUM(AF160:AF162),0),0)</f>
        <v>0</v>
      </c>
      <c r="AG163" s="206"/>
      <c r="AH163" s="207" t="str">
        <f>IF(OHPctCoFinancePartner1&gt;0,OHPctCoFinancePartner1,"")</f>
        <v/>
      </c>
      <c r="AI163" s="205">
        <f>IFERROR(IF(OHPctCoFinancePartner1&gt;0,OHPctCoFinancePartner1*SUM(AI160:AI162),0),0)</f>
        <v>0</v>
      </c>
      <c r="AJ163" s="206"/>
      <c r="AK163" s="207" t="str">
        <f>IF(OHPctCoFinancePartner1&gt;0,OHPctCoFinancePartner1,"")</f>
        <v/>
      </c>
      <c r="AL163" s="205">
        <f>IFERROR(IF(OHPctCoFinancePartner1&gt;0,OHPctCoFinancePartner1*SUM(AL160:AL162),0),0)</f>
        <v>0</v>
      </c>
      <c r="AM163" s="206"/>
      <c r="AN163" s="207" t="str">
        <f>IF(OHPctCoFinancePartner1&gt;0,OHPctCoFinancePartner1,"")</f>
        <v/>
      </c>
      <c r="AO163" s="205">
        <f>IFERROR(IF(OHPctCoFinancePartner1&gt;0,OHPctCoFinancePartner1*SUM(AO160:AO162),0),0)</f>
        <v>0</v>
      </c>
      <c r="AP163" s="209"/>
      <c r="AQ163" s="210" t="str">
        <f>IF(OHPctCoFinancePartner1&gt;0,OHPctCoFinancePartner1,"")</f>
        <v/>
      </c>
      <c r="AR163" s="208">
        <f>SUM(N163,Q163,T163,W163,Z163,AC163,AF163,AI163,AL163,AO163)</f>
        <v>0</v>
      </c>
      <c r="AS163"/>
      <c r="AT163"/>
      <c r="AU163"/>
      <c r="AV163"/>
      <c r="AW163"/>
      <c r="AX163"/>
      <c r="AY163"/>
      <c r="AZ163"/>
      <c r="BA163"/>
      <c r="BB163"/>
      <c r="BC163"/>
      <c r="BD163"/>
      <c r="BE163"/>
      <c r="BF163"/>
      <c r="BG163"/>
      <c r="BH163"/>
      <c r="BI163"/>
      <c r="BJ163"/>
      <c r="BK163"/>
      <c r="BL163"/>
      <c r="BM163"/>
      <c r="BN163"/>
      <c r="BO163"/>
      <c r="BP163"/>
      <c r="BQ163"/>
      <c r="BR163"/>
    </row>
    <row r="164" spans="2:70" s="3" customFormat="1" ht="25" customHeight="1" thickBot="1" x14ac:dyDescent="0.3">
      <c r="B164" s="182" t="s">
        <v>111</v>
      </c>
      <c r="C164" s="183"/>
      <c r="D164" s="183"/>
      <c r="E164" s="184"/>
      <c r="F164" s="184"/>
      <c r="G164" s="185"/>
      <c r="H164" s="185"/>
      <c r="I164" s="186"/>
      <c r="J164" s="186"/>
      <c r="K164" s="350"/>
      <c r="L164" s="187"/>
      <c r="M164" s="188">
        <f>IFERROR((N164/N166),0)</f>
        <v>0</v>
      </c>
      <c r="N164" s="189">
        <f>SUM(N160:N163)</f>
        <v>0</v>
      </c>
      <c r="O164" s="187"/>
      <c r="P164" s="188">
        <f>IFERROR((Q164/Q166),0)</f>
        <v>0</v>
      </c>
      <c r="Q164" s="189">
        <f>SUM(Q160:Q163)</f>
        <v>0</v>
      </c>
      <c r="R164" s="187"/>
      <c r="S164" s="188">
        <f>IFERROR((T164/T166),0)</f>
        <v>0</v>
      </c>
      <c r="T164" s="189">
        <f>SUM(T160:T163)</f>
        <v>0</v>
      </c>
      <c r="U164" s="187"/>
      <c r="V164" s="188">
        <f>IFERROR((W164/W166),0)</f>
        <v>0</v>
      </c>
      <c r="W164" s="189">
        <f>SUM(W160:W163)</f>
        <v>0</v>
      </c>
      <c r="X164" s="187"/>
      <c r="Y164" s="188">
        <f>IFERROR((Z164/Z166),0)</f>
        <v>0</v>
      </c>
      <c r="Z164" s="190">
        <f>SUM(Z160:Z163)</f>
        <v>0</v>
      </c>
      <c r="AA164" s="187"/>
      <c r="AB164" s="188">
        <f>IFERROR((AC164/AC166),0)</f>
        <v>0</v>
      </c>
      <c r="AC164" s="189">
        <f>SUM(AC160:AC163)</f>
        <v>0</v>
      </c>
      <c r="AD164" s="187"/>
      <c r="AE164" s="188">
        <f>IFERROR((AF164/AF166),0)</f>
        <v>0</v>
      </c>
      <c r="AF164" s="189">
        <f>SUM(AF160:AF163)</f>
        <v>0</v>
      </c>
      <c r="AG164" s="187"/>
      <c r="AH164" s="188">
        <f>IFERROR((AI164/AI166),0)</f>
        <v>0</v>
      </c>
      <c r="AI164" s="189">
        <f>SUM(AI160:AI163)</f>
        <v>0</v>
      </c>
      <c r="AJ164" s="187"/>
      <c r="AK164" s="188">
        <f>IFERROR((AL164/AL166),0)</f>
        <v>0</v>
      </c>
      <c r="AL164" s="189">
        <f>SUM(AL160:AL163)</f>
        <v>0</v>
      </c>
      <c r="AM164" s="187"/>
      <c r="AN164" s="188">
        <f>IFERROR((AO164/AO166),0)</f>
        <v>0</v>
      </c>
      <c r="AO164" s="191">
        <f>SUM(AO160:AO163)</f>
        <v>0</v>
      </c>
      <c r="AP164" s="192"/>
      <c r="AQ164" s="188">
        <f>IFERROR((AR164/AR166),0)</f>
        <v>0</v>
      </c>
      <c r="AR164" s="191">
        <f>SUM(AR160:AR163)</f>
        <v>0</v>
      </c>
      <c r="AS164"/>
      <c r="AT164"/>
      <c r="AU164"/>
      <c r="AV164"/>
      <c r="AW164"/>
      <c r="AX164"/>
      <c r="AY164"/>
      <c r="AZ164"/>
      <c r="BA164"/>
      <c r="BB164"/>
      <c r="BC164"/>
      <c r="BD164"/>
      <c r="BE164"/>
      <c r="BF164"/>
      <c r="BG164"/>
      <c r="BH164"/>
      <c r="BI164"/>
      <c r="BJ164"/>
      <c r="BK164"/>
      <c r="BL164"/>
      <c r="BM164"/>
      <c r="BN164"/>
      <c r="BO164"/>
      <c r="BP164"/>
      <c r="BQ164"/>
      <c r="BR164"/>
    </row>
    <row r="165" spans="2:70" ht="9.75" customHeight="1" thickBot="1" x14ac:dyDescent="0.25"/>
    <row r="166" spans="2:70" ht="22" thickBot="1" x14ac:dyDescent="0.3">
      <c r="B166" s="493" t="s">
        <v>112</v>
      </c>
      <c r="C166" s="494"/>
      <c r="D166" s="494"/>
      <c r="E166" s="495"/>
      <c r="F166" s="495"/>
      <c r="G166" s="496"/>
      <c r="H166" s="496"/>
      <c r="I166" s="497"/>
      <c r="J166" s="497"/>
      <c r="K166" s="498"/>
      <c r="L166" s="499"/>
      <c r="M166" s="500"/>
      <c r="N166" s="501">
        <f>SUM(N157,N164)</f>
        <v>1579348.4</v>
      </c>
      <c r="O166" s="502"/>
      <c r="P166" s="502"/>
      <c r="Q166" s="501">
        <f>SUM(Q157,Q164)</f>
        <v>3004457.7039999999</v>
      </c>
      <c r="R166" s="502"/>
      <c r="S166" s="502"/>
      <c r="T166" s="501">
        <f>SUM(T157,T164)</f>
        <v>4016678.4039599998</v>
      </c>
      <c r="U166" s="502"/>
      <c r="V166" s="502"/>
      <c r="W166" s="501">
        <f>SUM(W157,W164)</f>
        <v>3438185.2448971998</v>
      </c>
      <c r="X166" s="502"/>
      <c r="Y166" s="502"/>
      <c r="Z166" s="501">
        <f>SUM(Z157,Z164)</f>
        <v>2166890.9904847117</v>
      </c>
      <c r="AA166" s="502"/>
      <c r="AB166" s="502"/>
      <c r="AC166" s="501">
        <f>SUM(AC157,AC164)</f>
        <v>1173648.8600996267</v>
      </c>
      <c r="AD166" s="502"/>
      <c r="AE166" s="502"/>
      <c r="AF166" s="501">
        <f>SUM(AF157,AF164)</f>
        <v>0</v>
      </c>
      <c r="AG166" s="503"/>
      <c r="AH166" s="502"/>
      <c r="AI166" s="501">
        <f>SUM(AI157,AI164)</f>
        <v>0</v>
      </c>
      <c r="AJ166" s="502"/>
      <c r="AK166" s="502"/>
      <c r="AL166" s="501">
        <f>SUM(AL157,AL164)</f>
        <v>0</v>
      </c>
      <c r="AM166" s="503"/>
      <c r="AN166" s="502"/>
      <c r="AO166" s="504">
        <f>SUM(AO157,AO164)</f>
        <v>0</v>
      </c>
      <c r="AP166" s="505"/>
      <c r="AQ166" s="502"/>
      <c r="AR166" s="504">
        <f>SUM(L166:AO166)</f>
        <v>15379209.603441538</v>
      </c>
    </row>
    <row r="168" spans="2:70" x14ac:dyDescent="0.2">
      <c r="AP168" s="78" t="s">
        <v>295</v>
      </c>
      <c r="AQ168" s="78">
        <f>((AP154+AR155+(2*300000))/(AR157-AR95))*100</f>
        <v>28.563530959722133</v>
      </c>
    </row>
    <row r="169" spans="2:70" ht="16" thickBot="1" x14ac:dyDescent="0.25"/>
    <row r="170" spans="2:70" outlineLevel="1" x14ac:dyDescent="0.2">
      <c r="B170" s="35" t="s">
        <v>113</v>
      </c>
      <c r="C170" s="173"/>
      <c r="D170" s="173"/>
      <c r="E170" s="173"/>
      <c r="F170" s="173"/>
      <c r="G170" s="173"/>
      <c r="H170" s="173"/>
      <c r="I170" s="173"/>
      <c r="J170" s="173"/>
      <c r="K170" s="6"/>
      <c r="N170"/>
      <c r="O170"/>
      <c r="P170"/>
      <c r="Q170"/>
      <c r="R170"/>
      <c r="S170"/>
      <c r="T170"/>
      <c r="U170"/>
      <c r="V170"/>
      <c r="W170"/>
    </row>
    <row r="171" spans="2:70" outlineLevel="1" x14ac:dyDescent="0.2">
      <c r="B171" s="517"/>
      <c r="G171"/>
      <c r="I171"/>
      <c r="J171"/>
      <c r="K171" s="33"/>
      <c r="N171"/>
      <c r="O171"/>
      <c r="P171"/>
      <c r="Q171"/>
      <c r="R171"/>
      <c r="S171"/>
      <c r="T171"/>
      <c r="U171"/>
      <c r="V171"/>
      <c r="W171"/>
    </row>
    <row r="172" spans="2:70" ht="22" customHeight="1" outlineLevel="1" thickBot="1" x14ac:dyDescent="0.25">
      <c r="B172" s="758" t="s">
        <v>114</v>
      </c>
      <c r="C172" s="759"/>
      <c r="D172" s="759"/>
      <c r="E172" s="754" t="s">
        <v>115</v>
      </c>
      <c r="F172" s="754"/>
      <c r="G172" s="754"/>
      <c r="H172" s="754"/>
      <c r="I172" s="754"/>
      <c r="J172" s="754"/>
      <c r="K172" s="755"/>
      <c r="N172"/>
      <c r="O172"/>
      <c r="P172"/>
      <c r="Q172"/>
      <c r="R172"/>
      <c r="S172"/>
      <c r="T172"/>
      <c r="U172"/>
      <c r="V172"/>
      <c r="W172"/>
    </row>
    <row r="173" spans="2:70" ht="14.5" customHeight="1" outlineLevel="1" thickBot="1" x14ac:dyDescent="0.25">
      <c r="B173" s="562" t="str">
        <f>$L$15</f>
        <v>Year 1</v>
      </c>
      <c r="C173" s="564"/>
      <c r="E173" s="754"/>
      <c r="F173" s="754"/>
      <c r="G173" s="754"/>
      <c r="H173" s="754"/>
      <c r="I173" s="754"/>
      <c r="J173" s="754"/>
      <c r="K173" s="755"/>
      <c r="N173"/>
      <c r="O173"/>
      <c r="P173"/>
      <c r="Q173"/>
      <c r="R173"/>
      <c r="S173"/>
      <c r="T173"/>
      <c r="U173"/>
      <c r="V173"/>
      <c r="W173"/>
    </row>
    <row r="174" spans="2:70" ht="14.25" customHeight="1" outlineLevel="1" thickBot="1" x14ac:dyDescent="0.25">
      <c r="B174" s="562" t="str">
        <f>$O$15</f>
        <v>Year 2</v>
      </c>
      <c r="C174" s="565"/>
      <c r="E174" s="559"/>
      <c r="F174" s="670" t="s">
        <v>91</v>
      </c>
      <c r="G174" s="558"/>
      <c r="H174" s="558"/>
      <c r="I174"/>
      <c r="J174"/>
      <c r="K174" s="561"/>
      <c r="N174"/>
      <c r="O174"/>
      <c r="P174"/>
      <c r="Q174"/>
      <c r="R174"/>
      <c r="S174"/>
      <c r="T174"/>
      <c r="U174"/>
      <c r="V174"/>
      <c r="W174"/>
    </row>
    <row r="175" spans="2:70" ht="14.25" customHeight="1" outlineLevel="1" x14ac:dyDescent="0.2">
      <c r="B175" s="562" t="str">
        <f>$R$15</f>
        <v>Year 3</v>
      </c>
      <c r="C175" s="565"/>
      <c r="E175" s="754" t="s">
        <v>117</v>
      </c>
      <c r="F175" s="754"/>
      <c r="G175" s="754"/>
      <c r="H175" s="754"/>
      <c r="I175" s="754"/>
      <c r="J175" s="754"/>
      <c r="K175" s="755"/>
      <c r="N175"/>
      <c r="O175"/>
      <c r="P175"/>
      <c r="Q175"/>
      <c r="R175"/>
      <c r="S175"/>
      <c r="T175"/>
      <c r="U175"/>
      <c r="V175"/>
      <c r="W175"/>
    </row>
    <row r="176" spans="2:70" ht="14.5" customHeight="1" outlineLevel="1" thickBot="1" x14ac:dyDescent="0.25">
      <c r="B176" s="562" t="str">
        <f>$U$15</f>
        <v>Year 4</v>
      </c>
      <c r="C176" s="565"/>
      <c r="E176" s="754"/>
      <c r="F176" s="754"/>
      <c r="G176" s="754"/>
      <c r="H176" s="754"/>
      <c r="I176" s="754"/>
      <c r="J176" s="754"/>
      <c r="K176" s="755"/>
      <c r="N176"/>
      <c r="O176"/>
      <c r="P176"/>
      <c r="Q176"/>
      <c r="R176"/>
      <c r="S176"/>
      <c r="T176"/>
      <c r="U176"/>
      <c r="V176"/>
      <c r="W176"/>
    </row>
    <row r="177" spans="2:23" ht="14.5" customHeight="1" outlineLevel="1" thickBot="1" x14ac:dyDescent="0.25">
      <c r="B177" s="562" t="str">
        <f>$X$15</f>
        <v>Year 5</v>
      </c>
      <c r="C177" s="565"/>
      <c r="E177" s="559"/>
      <c r="F177" s="566" t="s">
        <v>120</v>
      </c>
      <c r="J177"/>
      <c r="K177" s="33"/>
      <c r="N177"/>
      <c r="O177"/>
      <c r="P177"/>
      <c r="Q177"/>
      <c r="R177"/>
      <c r="S177"/>
      <c r="T177"/>
      <c r="U177"/>
      <c r="V177"/>
      <c r="W177"/>
    </row>
    <row r="178" spans="2:23" ht="15" customHeight="1" outlineLevel="1" x14ac:dyDescent="0.2">
      <c r="B178" s="562" t="str">
        <f>$AA$15</f>
        <v>Year 6</v>
      </c>
      <c r="C178" s="565"/>
      <c r="E178" s="754" t="s">
        <v>118</v>
      </c>
      <c r="F178" s="754"/>
      <c r="G178" s="754"/>
      <c r="H178" s="754"/>
      <c r="I178" s="754"/>
      <c r="J178" s="754"/>
      <c r="K178" s="755"/>
      <c r="N178"/>
      <c r="O178"/>
      <c r="P178"/>
      <c r="Q178"/>
      <c r="R178"/>
      <c r="S178"/>
      <c r="T178"/>
      <c r="U178"/>
      <c r="V178"/>
      <c r="W178"/>
    </row>
    <row r="179" spans="2:23" ht="14.5" customHeight="1" outlineLevel="1" thickBot="1" x14ac:dyDescent="0.25">
      <c r="B179" s="562" t="str">
        <f>$AD$15</f>
        <v>Year 7</v>
      </c>
      <c r="C179" s="565"/>
      <c r="E179" s="754"/>
      <c r="F179" s="754"/>
      <c r="G179" s="754"/>
      <c r="H179" s="754"/>
      <c r="I179" s="754"/>
      <c r="J179" s="754"/>
      <c r="K179" s="755"/>
      <c r="N179"/>
      <c r="O179"/>
      <c r="P179"/>
      <c r="Q179"/>
      <c r="R179"/>
      <c r="S179"/>
      <c r="T179"/>
      <c r="U179"/>
      <c r="V179"/>
      <c r="W179"/>
    </row>
    <row r="180" spans="2:23" ht="16" outlineLevel="1" thickBot="1" x14ac:dyDescent="0.25">
      <c r="B180" s="562" t="str">
        <f>$AG$15</f>
        <v>Year 8</v>
      </c>
      <c r="C180" s="565"/>
      <c r="F180" s="566" t="s">
        <v>120</v>
      </c>
      <c r="J180"/>
      <c r="K180" s="33"/>
      <c r="N180"/>
      <c r="O180"/>
      <c r="P180"/>
      <c r="Q180"/>
      <c r="R180"/>
      <c r="S180"/>
      <c r="T180"/>
      <c r="U180"/>
      <c r="V180"/>
      <c r="W180"/>
    </row>
    <row r="181" spans="2:23" outlineLevel="1" x14ac:dyDescent="0.2">
      <c r="B181" s="562" t="str">
        <f>$AJ$15</f>
        <v>Year 9</v>
      </c>
      <c r="C181" s="565"/>
      <c r="E181" s="756" t="s">
        <v>119</v>
      </c>
      <c r="F181" s="756"/>
      <c r="G181" s="756"/>
      <c r="H181" s="756"/>
      <c r="I181" s="756"/>
      <c r="J181" s="756"/>
      <c r="K181" s="757"/>
      <c r="N181"/>
      <c r="O181"/>
      <c r="P181"/>
      <c r="Q181"/>
      <c r="R181"/>
      <c r="S181"/>
      <c r="T181"/>
      <c r="U181"/>
      <c r="V181"/>
      <c r="W181"/>
    </row>
    <row r="182" spans="2:23" ht="15.75" customHeight="1" outlineLevel="1" thickBot="1" x14ac:dyDescent="0.25">
      <c r="B182" s="562" t="str">
        <f>$AM$15</f>
        <v>Year 10</v>
      </c>
      <c r="C182" s="565"/>
      <c r="E182" s="756"/>
      <c r="F182" s="756"/>
      <c r="G182" s="756"/>
      <c r="H182" s="756"/>
      <c r="I182" s="756"/>
      <c r="J182" s="756"/>
      <c r="K182" s="757"/>
      <c r="N182"/>
      <c r="O182"/>
      <c r="P182"/>
      <c r="Q182"/>
      <c r="R182"/>
      <c r="S182"/>
      <c r="T182"/>
      <c r="U182"/>
      <c r="V182"/>
      <c r="W182"/>
    </row>
    <row r="183" spans="2:23" ht="16" outlineLevel="1" thickBot="1" x14ac:dyDescent="0.25">
      <c r="B183" s="562" t="s">
        <v>120</v>
      </c>
      <c r="C183" s="563">
        <f>SUM(C173:C182)</f>
        <v>0</v>
      </c>
      <c r="E183" s="614"/>
      <c r="F183" s="615">
        <f>IFERROR(_xlfn.XLOOKUP(Foundation,Foundationdropdown,Lists!Z2:Z15),"-")</f>
        <v>8000</v>
      </c>
      <c r="G183" s="616"/>
      <c r="H183" s="614"/>
      <c r="I183" s="617"/>
      <c r="J183" s="614"/>
      <c r="K183" s="618"/>
      <c r="N183"/>
      <c r="O183"/>
      <c r="P183"/>
      <c r="Q183"/>
      <c r="R183"/>
      <c r="S183"/>
      <c r="T183"/>
      <c r="U183"/>
      <c r="V183"/>
      <c r="W183"/>
    </row>
    <row r="184" spans="2:23" ht="16" outlineLevel="1" thickTop="1" x14ac:dyDescent="0.2">
      <c r="B184" s="560"/>
      <c r="C184" s="558"/>
      <c r="D184" s="558"/>
      <c r="E184" s="619"/>
      <c r="F184" s="619"/>
      <c r="G184" s="619"/>
      <c r="H184" s="619"/>
      <c r="I184" s="614"/>
      <c r="J184" s="614"/>
      <c r="K184" s="618"/>
      <c r="N184"/>
      <c r="O184"/>
      <c r="P184"/>
      <c r="Q184"/>
      <c r="R184"/>
      <c r="S184"/>
      <c r="T184"/>
      <c r="U184"/>
      <c r="V184"/>
      <c r="W184"/>
    </row>
    <row r="185" spans="2:23" outlineLevel="1" x14ac:dyDescent="0.2">
      <c r="B185" s="515"/>
      <c r="C185" s="317" t="s">
        <v>121</v>
      </c>
      <c r="D185" s="567"/>
      <c r="E185" s="318"/>
      <c r="F185" s="567"/>
      <c r="G185" s="318"/>
      <c r="H185" s="318"/>
      <c r="I185" s="567"/>
      <c r="J185" s="568"/>
      <c r="K185" s="33"/>
      <c r="N185"/>
      <c r="O185"/>
      <c r="P185"/>
      <c r="Q185"/>
      <c r="R185"/>
      <c r="S185"/>
      <c r="T185"/>
      <c r="U185"/>
      <c r="V185"/>
      <c r="W185"/>
    </row>
    <row r="186" spans="2:23" outlineLevel="1" x14ac:dyDescent="0.2">
      <c r="B186" s="516"/>
      <c r="C186" s="714" t="s">
        <v>294</v>
      </c>
      <c r="D186" s="715"/>
      <c r="E186" s="715"/>
      <c r="F186" s="715"/>
      <c r="G186" s="715"/>
      <c r="H186" s="715"/>
      <c r="I186" s="715"/>
      <c r="J186" s="716"/>
      <c r="K186" s="33"/>
      <c r="N186"/>
      <c r="O186"/>
      <c r="P186"/>
      <c r="Q186"/>
      <c r="R186"/>
      <c r="S186"/>
      <c r="T186"/>
      <c r="U186"/>
      <c r="V186"/>
      <c r="W186"/>
    </row>
    <row r="187" spans="2:23" outlineLevel="1" x14ac:dyDescent="0.2">
      <c r="B187" s="515"/>
      <c r="C187" s="711"/>
      <c r="D187" s="712"/>
      <c r="E187" s="712"/>
      <c r="F187" s="712"/>
      <c r="G187" s="712"/>
      <c r="H187" s="712"/>
      <c r="I187" s="712"/>
      <c r="J187" s="713"/>
      <c r="K187" s="33"/>
      <c r="N187"/>
      <c r="O187"/>
      <c r="P187"/>
      <c r="Q187"/>
      <c r="R187"/>
      <c r="S187"/>
      <c r="T187"/>
      <c r="U187"/>
      <c r="V187"/>
      <c r="W187"/>
    </row>
    <row r="188" spans="2:23" outlineLevel="1" x14ac:dyDescent="0.2">
      <c r="B188" s="515"/>
      <c r="C188" s="711"/>
      <c r="D188" s="712"/>
      <c r="E188" s="712"/>
      <c r="F188" s="712"/>
      <c r="G188" s="712"/>
      <c r="H188" s="712"/>
      <c r="I188" s="712"/>
      <c r="J188" s="713"/>
      <c r="K188" s="33"/>
      <c r="N188"/>
      <c r="O188"/>
      <c r="P188"/>
      <c r="Q188"/>
      <c r="R188"/>
      <c r="S188"/>
      <c r="T188"/>
      <c r="U188"/>
      <c r="V188"/>
      <c r="W188"/>
    </row>
    <row r="189" spans="2:23" outlineLevel="1" x14ac:dyDescent="0.2">
      <c r="B189" s="515"/>
      <c r="C189" s="711"/>
      <c r="D189" s="712"/>
      <c r="E189" s="712"/>
      <c r="F189" s="712"/>
      <c r="G189" s="712"/>
      <c r="H189" s="712"/>
      <c r="I189" s="712"/>
      <c r="J189" s="713"/>
      <c r="K189" s="33"/>
      <c r="N189"/>
      <c r="O189"/>
      <c r="P189"/>
      <c r="Q189"/>
      <c r="R189"/>
      <c r="S189"/>
      <c r="T189"/>
      <c r="U189"/>
      <c r="V189"/>
      <c r="W189"/>
    </row>
    <row r="190" spans="2:23" outlineLevel="1" x14ac:dyDescent="0.2">
      <c r="B190" s="517"/>
      <c r="C190" s="711"/>
      <c r="D190" s="712"/>
      <c r="E190" s="712"/>
      <c r="F190" s="712"/>
      <c r="G190" s="712"/>
      <c r="H190" s="712"/>
      <c r="I190" s="712"/>
      <c r="J190" s="713"/>
      <c r="K190" s="33"/>
      <c r="N190"/>
      <c r="O190"/>
      <c r="P190"/>
      <c r="Q190"/>
      <c r="R190"/>
      <c r="S190"/>
      <c r="T190"/>
      <c r="U190"/>
      <c r="V190"/>
      <c r="W190"/>
    </row>
    <row r="191" spans="2:23" outlineLevel="1" x14ac:dyDescent="0.2">
      <c r="B191" s="7"/>
      <c r="C191" s="714"/>
      <c r="D191" s="715"/>
      <c r="E191" s="715"/>
      <c r="F191" s="715"/>
      <c r="G191" s="715"/>
      <c r="H191" s="715"/>
      <c r="I191" s="715"/>
      <c r="J191" s="716"/>
      <c r="K191" s="33"/>
      <c r="N191"/>
      <c r="O191"/>
      <c r="P191"/>
      <c r="Q191"/>
      <c r="R191"/>
      <c r="S191"/>
      <c r="T191"/>
      <c r="U191"/>
      <c r="V191"/>
      <c r="W191"/>
    </row>
    <row r="192" spans="2:23" outlineLevel="1" x14ac:dyDescent="0.2">
      <c r="B192" s="7"/>
      <c r="C192" s="714"/>
      <c r="D192" s="715"/>
      <c r="E192" s="715"/>
      <c r="F192" s="715"/>
      <c r="G192" s="715"/>
      <c r="H192" s="715"/>
      <c r="I192" s="715"/>
      <c r="J192" s="716"/>
      <c r="K192" s="33"/>
      <c r="N192"/>
      <c r="O192"/>
      <c r="P192"/>
      <c r="Q192"/>
      <c r="R192"/>
      <c r="S192"/>
      <c r="T192"/>
      <c r="U192"/>
      <c r="V192"/>
      <c r="W192"/>
    </row>
    <row r="193" spans="2:23" outlineLevel="1" x14ac:dyDescent="0.2">
      <c r="B193" s="515"/>
      <c r="C193" s="711"/>
      <c r="D193" s="712"/>
      <c r="E193" s="712"/>
      <c r="F193" s="712"/>
      <c r="G193" s="712"/>
      <c r="H193" s="712"/>
      <c r="I193" s="712"/>
      <c r="J193" s="713"/>
      <c r="K193" s="33"/>
      <c r="N193"/>
      <c r="O193"/>
      <c r="P193"/>
      <c r="Q193"/>
      <c r="R193"/>
      <c r="S193"/>
      <c r="T193"/>
      <c r="U193"/>
      <c r="V193"/>
      <c r="W193"/>
    </row>
    <row r="194" spans="2:23" outlineLevel="1" x14ac:dyDescent="0.2">
      <c r="B194" s="515"/>
      <c r="C194" s="711"/>
      <c r="D194" s="712"/>
      <c r="E194" s="712"/>
      <c r="F194" s="712"/>
      <c r="G194" s="712"/>
      <c r="H194" s="712"/>
      <c r="I194" s="712"/>
      <c r="J194" s="713"/>
      <c r="K194" s="33"/>
      <c r="N194"/>
      <c r="O194"/>
      <c r="P194"/>
      <c r="Q194"/>
      <c r="R194"/>
      <c r="S194"/>
      <c r="T194"/>
      <c r="U194"/>
      <c r="V194"/>
      <c r="W194"/>
    </row>
    <row r="195" spans="2:23" outlineLevel="1" x14ac:dyDescent="0.2">
      <c r="B195" s="515"/>
      <c r="C195" s="717"/>
      <c r="D195" s="718"/>
      <c r="E195" s="718"/>
      <c r="F195" s="718"/>
      <c r="G195" s="718"/>
      <c r="H195" s="718"/>
      <c r="I195" s="718"/>
      <c r="J195" s="719"/>
      <c r="K195" s="33"/>
      <c r="N195"/>
      <c r="O195"/>
      <c r="P195"/>
      <c r="Q195"/>
      <c r="R195"/>
      <c r="S195"/>
      <c r="T195"/>
      <c r="U195"/>
      <c r="V195"/>
      <c r="W195"/>
    </row>
    <row r="196" spans="2:23" ht="16" outlineLevel="1" thickBot="1" x14ac:dyDescent="0.25">
      <c r="B196" s="518"/>
      <c r="C196" s="519"/>
      <c r="D196" s="519"/>
      <c r="E196" s="519"/>
      <c r="F196" s="519"/>
      <c r="G196" s="519"/>
      <c r="H196" s="519"/>
      <c r="I196" s="519"/>
      <c r="J196" s="519"/>
      <c r="K196" s="34"/>
      <c r="N196"/>
      <c r="O196"/>
      <c r="P196"/>
      <c r="Q196"/>
      <c r="R196"/>
      <c r="S196"/>
      <c r="T196"/>
      <c r="U196"/>
      <c r="V196"/>
      <c r="W196"/>
    </row>
  </sheetData>
  <sheetProtection formatColumns="0" formatRows="0"/>
  <dataConsolidate/>
  <mergeCells count="227">
    <mergeCell ref="E172:K173"/>
    <mergeCell ref="E175:K176"/>
    <mergeCell ref="E178:K179"/>
    <mergeCell ref="E181:K182"/>
    <mergeCell ref="B172:D172"/>
    <mergeCell ref="F148:J148"/>
    <mergeCell ref="F94:J94"/>
    <mergeCell ref="C36:E36"/>
    <mergeCell ref="C88:E88"/>
    <mergeCell ref="F56:G56"/>
    <mergeCell ref="F57:G57"/>
    <mergeCell ref="C75:E75"/>
    <mergeCell ref="C76:E76"/>
    <mergeCell ref="C79:E79"/>
    <mergeCell ref="C80:E80"/>
    <mergeCell ref="C81:E81"/>
    <mergeCell ref="C82:E82"/>
    <mergeCell ref="C83:E83"/>
    <mergeCell ref="C84:E84"/>
    <mergeCell ref="C85:E85"/>
    <mergeCell ref="C86:E86"/>
    <mergeCell ref="C87:E87"/>
    <mergeCell ref="F71:G71"/>
    <mergeCell ref="F70:G70"/>
    <mergeCell ref="F69:G69"/>
    <mergeCell ref="F68:G68"/>
    <mergeCell ref="F67:G67"/>
    <mergeCell ref="F66:G66"/>
    <mergeCell ref="F108:J108"/>
    <mergeCell ref="F107:J107"/>
    <mergeCell ref="F106:J106"/>
    <mergeCell ref="F105:J105"/>
    <mergeCell ref="F104:J104"/>
    <mergeCell ref="F95:J95"/>
    <mergeCell ref="F97:J97"/>
    <mergeCell ref="F96:J96"/>
    <mergeCell ref="F103:J103"/>
    <mergeCell ref="F102:J102"/>
    <mergeCell ref="F101:J101"/>
    <mergeCell ref="F146:J146"/>
    <mergeCell ref="C144:E144"/>
    <mergeCell ref="F144:J144"/>
    <mergeCell ref="C143:E143"/>
    <mergeCell ref="F143:J143"/>
    <mergeCell ref="C140:E140"/>
    <mergeCell ref="F140:J140"/>
    <mergeCell ref="C141:E141"/>
    <mergeCell ref="F141:J141"/>
    <mergeCell ref="C142:E142"/>
    <mergeCell ref="F142:J142"/>
    <mergeCell ref="F145:J145"/>
    <mergeCell ref="C160:E160"/>
    <mergeCell ref="C161:E161"/>
    <mergeCell ref="C163:E163"/>
    <mergeCell ref="B159:E159"/>
    <mergeCell ref="C154:E154"/>
    <mergeCell ref="C155:E155"/>
    <mergeCell ref="C156:E156"/>
    <mergeCell ref="C145:E145"/>
    <mergeCell ref="C153:E153"/>
    <mergeCell ref="C146:E146"/>
    <mergeCell ref="F124:J124"/>
    <mergeCell ref="F123:J123"/>
    <mergeCell ref="C113:E113"/>
    <mergeCell ref="C114:E114"/>
    <mergeCell ref="C115:E115"/>
    <mergeCell ref="C116:E116"/>
    <mergeCell ref="F117:J117"/>
    <mergeCell ref="F118:J118"/>
    <mergeCell ref="C117:E117"/>
    <mergeCell ref="F119:J119"/>
    <mergeCell ref="C27:E27"/>
    <mergeCell ref="F129:J129"/>
    <mergeCell ref="C122:E122"/>
    <mergeCell ref="C123:E123"/>
    <mergeCell ref="C124:E124"/>
    <mergeCell ref="C118:E118"/>
    <mergeCell ref="C129:E129"/>
    <mergeCell ref="F45:G45"/>
    <mergeCell ref="C128:E128"/>
    <mergeCell ref="F128:J128"/>
    <mergeCell ref="F65:G65"/>
    <mergeCell ref="F64:G64"/>
    <mergeCell ref="F61:G61"/>
    <mergeCell ref="C112:E112"/>
    <mergeCell ref="C110:E110"/>
    <mergeCell ref="C111:E111"/>
    <mergeCell ref="F99:J99"/>
    <mergeCell ref="C125:E125"/>
    <mergeCell ref="F125:J125"/>
    <mergeCell ref="C126:E126"/>
    <mergeCell ref="F126:J126"/>
    <mergeCell ref="C127:E127"/>
    <mergeCell ref="F127:J127"/>
    <mergeCell ref="F113:J113"/>
    <mergeCell ref="C65:E65"/>
    <mergeCell ref="C71:E71"/>
    <mergeCell ref="C95:E95"/>
    <mergeCell ref="C96:E96"/>
    <mergeCell ref="C97:E97"/>
    <mergeCell ref="C98:E98"/>
    <mergeCell ref="C99:E99"/>
    <mergeCell ref="C102:E102"/>
    <mergeCell ref="C53:E53"/>
    <mergeCell ref="C89:E89"/>
    <mergeCell ref="C77:E77"/>
    <mergeCell ref="C78:E78"/>
    <mergeCell ref="C94:E94"/>
    <mergeCell ref="C74:E74"/>
    <mergeCell ref="C40:E40"/>
    <mergeCell ref="C55:E55"/>
    <mergeCell ref="C73:E73"/>
    <mergeCell ref="C66:E66"/>
    <mergeCell ref="C67:E67"/>
    <mergeCell ref="C68:E68"/>
    <mergeCell ref="C69:E69"/>
    <mergeCell ref="C70:E70"/>
    <mergeCell ref="C62:E62"/>
    <mergeCell ref="C63:E63"/>
    <mergeCell ref="C64:E64"/>
    <mergeCell ref="C58:E58"/>
    <mergeCell ref="C59:E59"/>
    <mergeCell ref="C60:E60"/>
    <mergeCell ref="C61:E61"/>
    <mergeCell ref="C44:E44"/>
    <mergeCell ref="C41:E41"/>
    <mergeCell ref="C46:E46"/>
    <mergeCell ref="C47:E47"/>
    <mergeCell ref="C48:E48"/>
    <mergeCell ref="C49:E49"/>
    <mergeCell ref="C50:E50"/>
    <mergeCell ref="C51:E51"/>
    <mergeCell ref="C52:E52"/>
    <mergeCell ref="F60:G60"/>
    <mergeCell ref="F59:G59"/>
    <mergeCell ref="F58:G58"/>
    <mergeCell ref="F63:G63"/>
    <mergeCell ref="F62:G62"/>
    <mergeCell ref="F41:G41"/>
    <mergeCell ref="C42:E42"/>
    <mergeCell ref="F42:G42"/>
    <mergeCell ref="C43:E43"/>
    <mergeCell ref="F43:G43"/>
    <mergeCell ref="F44:G44"/>
    <mergeCell ref="C45:E45"/>
    <mergeCell ref="C56:E56"/>
    <mergeCell ref="C57:E57"/>
    <mergeCell ref="F46:G46"/>
    <mergeCell ref="F47:G47"/>
    <mergeCell ref="F48:G48"/>
    <mergeCell ref="F49:G49"/>
    <mergeCell ref="F50:G50"/>
    <mergeCell ref="F51:G51"/>
    <mergeCell ref="F52:G52"/>
    <mergeCell ref="F53:G53"/>
    <mergeCell ref="AT15:AT17"/>
    <mergeCell ref="F40:G40"/>
    <mergeCell ref="F39:G39"/>
    <mergeCell ref="F38:G38"/>
    <mergeCell ref="D15:F15"/>
    <mergeCell ref="C23:E23"/>
    <mergeCell ref="C24:E24"/>
    <mergeCell ref="C39:E39"/>
    <mergeCell ref="C19:E19"/>
    <mergeCell ref="C20:E20"/>
    <mergeCell ref="C21:E21"/>
    <mergeCell ref="C22:E22"/>
    <mergeCell ref="C26:E26"/>
    <mergeCell ref="C34:E34"/>
    <mergeCell ref="C35:E35"/>
    <mergeCell ref="C30:E30"/>
    <mergeCell ref="C31:E31"/>
    <mergeCell ref="C28:E28"/>
    <mergeCell ref="C29:E29"/>
    <mergeCell ref="C37:E37"/>
    <mergeCell ref="C38:E38"/>
    <mergeCell ref="C25:E25"/>
    <mergeCell ref="C32:E32"/>
    <mergeCell ref="C33:E33"/>
    <mergeCell ref="C195:J195"/>
    <mergeCell ref="C194:J194"/>
    <mergeCell ref="C192:J192"/>
    <mergeCell ref="C191:J191"/>
    <mergeCell ref="C190:J190"/>
    <mergeCell ref="C189:J189"/>
    <mergeCell ref="C188:J188"/>
    <mergeCell ref="F109:J109"/>
    <mergeCell ref="F110:J110"/>
    <mergeCell ref="F112:J112"/>
    <mergeCell ref="F114:J114"/>
    <mergeCell ref="F115:J115"/>
    <mergeCell ref="F116:J116"/>
    <mergeCell ref="C138:E138"/>
    <mergeCell ref="F138:J138"/>
    <mergeCell ref="C139:E139"/>
    <mergeCell ref="C136:E136"/>
    <mergeCell ref="F136:J136"/>
    <mergeCell ref="C137:E137"/>
    <mergeCell ref="F137:J137"/>
    <mergeCell ref="F130:J130"/>
    <mergeCell ref="F131:J131"/>
    <mergeCell ref="F132:J132"/>
    <mergeCell ref="F133:J133"/>
    <mergeCell ref="F111:J111"/>
    <mergeCell ref="F147:J147"/>
    <mergeCell ref="C109:E109"/>
    <mergeCell ref="F100:J100"/>
    <mergeCell ref="F98:J98"/>
    <mergeCell ref="C104:E104"/>
    <mergeCell ref="C187:J187"/>
    <mergeCell ref="C186:J186"/>
    <mergeCell ref="C193:J193"/>
    <mergeCell ref="C105:E105"/>
    <mergeCell ref="C106:E106"/>
    <mergeCell ref="C107:E107"/>
    <mergeCell ref="C108:E108"/>
    <mergeCell ref="C101:E101"/>
    <mergeCell ref="C100:E100"/>
    <mergeCell ref="C103:E103"/>
    <mergeCell ref="C133:E133"/>
    <mergeCell ref="C134:E134"/>
    <mergeCell ref="C130:E130"/>
    <mergeCell ref="C131:E131"/>
    <mergeCell ref="C132:E132"/>
    <mergeCell ref="F134:J134"/>
    <mergeCell ref="C135:E135"/>
    <mergeCell ref="F135:J135"/>
  </mergeCells>
  <phoneticPr fontId="2" type="noConversion"/>
  <conditionalFormatting sqref="D13">
    <cfRule type="expression" dxfId="10" priority="1">
      <formula>OR(Foundation=Project_supplement_foundations)*AND(OR(InstitutionPartner1=Project_supplement_institutions)*AND(OHPctPartner1&gt;0%))</formula>
    </cfRule>
  </conditionalFormatting>
  <conditionalFormatting sqref="E181:K182">
    <cfRule type="expression" dxfId="9" priority="2">
      <formula>$E$120&lt;&gt;"Yes"</formula>
    </cfRule>
  </conditionalFormatting>
  <conditionalFormatting sqref="F183">
    <cfRule type="expression" dxfId="8" priority="3">
      <formula>$E$120&lt;&gt;"Yes"</formula>
    </cfRule>
    <cfRule type="expression" dxfId="7" priority="4">
      <formula>$H$10&gt;0</formula>
    </cfRule>
  </conditionalFormatting>
  <conditionalFormatting sqref="I120">
    <cfRule type="expression" dxfId="6" priority="5">
      <formula>AND(InstitutionPartner1="AU",FacultyPartner1="Natural Sciences")</formula>
    </cfRule>
  </conditionalFormatting>
  <conditionalFormatting sqref="K120">
    <cfRule type="expression" dxfId="5" priority="6">
      <formula>E120="Yes"</formula>
    </cfRule>
  </conditionalFormatting>
  <conditionalFormatting sqref="L18:AO18">
    <cfRule type="cellIs" dxfId="4" priority="18" operator="between">
      <formula>0</formula>
      <formula>0</formula>
    </cfRule>
  </conditionalFormatting>
  <conditionalFormatting sqref="AP18">
    <cfRule type="expression" dxfId="3" priority="19">
      <formula>$AP$18&lt;1</formula>
    </cfRule>
  </conditionalFormatting>
  <dataValidations count="17">
    <dataValidation allowBlank="1" showErrorMessage="1" promptTitle="Click on icon |Max 32 characters" prompt="MAX 240 characters! MAX 240 characters! MAX 240 characters! MAX 240 characters! MAX 240 characters! MAX 240 characters!MAX 240 characters! MAX 240 characters! MAX 240 characters!MAX 240 characters! MAX 240 characters! MAX 240 characters! ................." sqref="E5:E13 F13" xr:uid="{646EB527-D95F-4976-9F91-3A9DBB8CF5EB}"/>
    <dataValidation type="list" allowBlank="1" showInputMessage="1" showErrorMessage="1" sqref="D10:E10 E5:E9" xr:uid="{F45F23BF-55A6-4C7E-8DCF-6709F2BDFC1B}">
      <formula1>"Project years, Calendar years"</formula1>
    </dataValidation>
    <dataValidation type="decimal" allowBlank="1" showInputMessage="1" showErrorMessage="1" sqref="J38:J53 J56:J71 J20:J35 J74:J89" xr:uid="{51E796E7-C887-4594-9EF3-2A9A38290AF9}">
      <formula1>0</formula1>
      <formula2>60</formula2>
    </dataValidation>
    <dataValidation type="decimal" allowBlank="1" showInputMessage="1" showErrorMessage="1" sqref="E13:F13" xr:uid="{1E70D682-5C65-4FF0-81A3-06C7265C694B}">
      <formula1>0</formula1>
      <formula2>3</formula2>
    </dataValidation>
    <dataValidation type="date" operator="greaterThanOrEqual" allowBlank="1" showInputMessage="1" showErrorMessage="1" errorTitle="Please enter a valid date" error=" " sqref="D8:D9" xr:uid="{DDB39349-3BD9-4F84-9A91-1D617DBDA1E9}">
      <formula1>36526</formula1>
    </dataValidation>
    <dataValidation type="list" allowBlank="1" showInputMessage="1" showErrorMessage="1" sqref="G20:G35" xr:uid="{89BD3485-8C73-4997-BABB-CEC3BE974906}">
      <formula1>"0,1"</formula1>
    </dataValidation>
    <dataValidation type="custom" errorStyle="warning" allowBlank="1" showErrorMessage="1" error="You have entered a number of months higher than the number of project months in the year." sqref="AM20:AM35 AJ56:AJ71 AG56:AG71 AJ20:AJ35 AG20:AG35 AD56:AD71 AA56:AA71 AD20:AD35 AA20:AA35 X56:X71 U56:U71 X20:X35 U20:U35 R56:R71 O56:O71 R20:R35 O20:O35 AM74:AM89 L38:L53 L20:L35 AM56:AM71 O38:O53 R38:R53 U38:U53 X38:X53 AA38:AA53 AD38:AD53 AG38:AG53 AJ38:AJ53 AM38:AM53 L74:L89 L56:L71 R74:R89 AA74:AA89 X74:X89 U74:U89 AD74:AD89 AG74:AG89 AJ74:AJ89 O74:O89" xr:uid="{16261E58-70B8-46E0-896C-F7D9592055C3}">
      <formula1>L20&lt;=L$18</formula1>
    </dataValidation>
    <dataValidation type="list" allowBlank="1" showInputMessage="1" sqref="D5" xr:uid="{E6479A25-EE27-41C0-BD47-5C75562921A9}">
      <formula1>Institutiondropdown</formula1>
    </dataValidation>
    <dataValidation type="list" allowBlank="1" showInputMessage="1" showErrorMessage="1" sqref="D12" xr:uid="{4DE8F5F6-5A72-48BB-8980-761570520D8C}">
      <formula1>Foundationdropdown</formula1>
    </dataValidation>
    <dataValidation type="list" allowBlank="1" showInputMessage="1" showErrorMessage="1" sqref="F177 F180" xr:uid="{165377B6-77CB-4FAF-B08B-4D636122BDF8}">
      <formula1>"-,Subtotal,Total"</formula1>
    </dataValidation>
    <dataValidation type="list" allowBlank="1" showInputMessage="1" showErrorMessage="1" sqref="F174" xr:uid="{3E889659-B93C-4308-B184-887D3631A9A3}">
      <formula1>" -,Yes,No"</formula1>
    </dataValidation>
    <dataValidation type="list" allowBlank="1" showInputMessage="1" showErrorMessage="1" sqref="D7" xr:uid="{69A2C47A-179D-4712-AEE8-205504C69A41}">
      <formula1>IF(InstitutionPartner1="AU",Dep_list,"")</formula1>
    </dataValidation>
    <dataValidation type="list" allowBlank="1" showInputMessage="1" showErrorMessage="1" sqref="C56:E71 C74:E89" xr:uid="{2AE097F5-A552-4D68-B9F6-2034ABBE8F98}">
      <formula1>TAPCat</formula1>
    </dataValidation>
    <dataValidation type="list" allowBlank="1" showErrorMessage="1" promptTitle="Choose a position" prompt="- Choose a position from the drop down" sqref="C38:E53" xr:uid="{CF072AE3-A9B0-4E72-8A01-D9DEE57196CE}">
      <formula1>CoFinVIPCat</formula1>
    </dataValidation>
    <dataValidation type="list" allowBlank="1" showErrorMessage="1" promptTitle="Choose a position" prompt="- Choose a position from the drop down" sqref="C20:E35" xr:uid="{57C8258A-FC4E-4031-81FA-4390FD9749B9}">
      <formula1>VIPCat</formula1>
    </dataValidation>
    <dataValidation type="list" allowBlank="1" showInputMessage="1" showErrorMessage="1" sqref="C95:E110 C123:E138" xr:uid="{6ACF098E-9D2C-4706-BE3A-886293F1D0E7}">
      <formula1>NNFOperationCosts</formula1>
    </dataValidation>
    <dataValidation type="list" allowBlank="1" showInputMessage="1" showErrorMessage="1" sqref="C112:E118 C140:E146" xr:uid="{5B8986F7-3AC2-45DD-9E98-31BE2E852F55}">
      <formula1>NNFDisseminationCosts</formula1>
    </dataValidation>
  </dataValidations>
  <hyperlinks>
    <hyperlink ref="K5" r:id="rId1" display="https://novonordiskfonden.dk/en/grant/new-exploratory-research-and-discovery-nerd-programme-2026/" xr:uid="{353D5A1D-B344-4B5D-AFB9-D5947CC8E349}"/>
  </hyperlinks>
  <pageMargins left="0.7" right="0.7" top="0.75" bottom="0.75" header="0.3" footer="0.3"/>
  <pageSetup paperSize="9" orientation="portrait" r:id="rId2"/>
  <ignoredErrors>
    <ignoredError sqref="G20:G24 H20:H35 P121 AQ119:AR119 P29:Q29 M20:M35 M38:M40 P37:AP37 Q36:R36 T36:U36 X36 Z36:AA36 AC36:AD36 AF36:AG36 AI36:AJ36 P55:AP55 M56:M71 P40:Q40 S40:T40 P73:AP73 Q72:R72 T72:U72 W72:X72 Z72:AA72 AC72:AD72 AF72:AG72 AI72:AJ72 AL72:AM72 AO72 AL36 P93:AP94 M74:N76 P32:Q33 P30:Q30 S30:T30 P35:Q35 P34:Q34 S34:T34 P98:P102 P95:P97 R95:S97 U95:V97 X95:Y97 AA95:AB97 AD95:AE97 AG95:AH97 AJ95:AK97 AM95:AN97 AP95:AP97 P104 P103 AP103 P20:Q20 S20:T20 P21:Q21 S21:T21 P22:Q22 S22:T22 P23:Q23 S23:T23 P24:Q24 S24:T24 P25:Q25 S25:T25 P26:Q26 S26:T26 P27:Q27 S27:T27 V27:W27 V26:W26 V25:W25 V24:W24 V23:W23 V22:W22 V21:W21 V20:W20 Y20:Z20 Y21:Z21 Y22:Z22 Y23:Z23 Y24:Z24 Y25:Z25 Y26:Z26 Y27:Z27 AB20:AC20 AB21:AC21 AB22:AC22 AB23:AC23 AB24:AC24 AB25:AC25 AB26:AC26 AB27:AC27 AE27:AF27 AE26:AF26 AE25:AF25 AE24:AF24 AE23:AF23 AE22:AF22 AE21:AF21 AE20:AF20 AH20:AI20 AH21:AI21 AH22:AI22 AH23:AI23 AH24:AI24 AH25:AI25 AH26:AI26 AH27:AI27 AK27:AL27 AK26:AL26 AK25:AL25 AK24:AL24 AK23:AL23 AK22:AL22 AK21:AL21 AK20:AL20 AN20:AP20 AN21:AP21 AN22:AP22 AN23:AP23 AN24:AP24 AN25:AP25 AN26:AP26 AO27:AP27 P39:Q39 P38:Q38 AN38:AP38 AN39:AP39 AN40:AP40 AK40:AL40 AK39:AL39 AK38:AL38 AH38:AI38 AH39:AI39 AH40:AI40 AE40:AF40 AE39:AF39 AE38:AF38 AB38:AC38 AB39:AC39 AB40:AC40 Y40:Z40 Y39:Z39 Y38:Z38 V38:W38 V39:W39 V40:W40 S39:T39 S38:T38 P66:Q71 P56:Q64 S56:T64 V56:W64 Y56:Z64 AB56:AC64 AE56:AF64 AH56:AI64 AK59:AL60 P74:Q76 S74:T76 V74:W76 Y74:Z76 AB74:AC76 AE74:AF76 AH74:AI76 AK74:AL76 AN74:AP76 AK56:AL58 AN56:AP58 AK64:AL64 AK61:AL63 AN61:AP63 AN59:AP60 AN64:AP64 P28:Q28 S29:T29 V29:W29 Y28:Z28 AB28:AC28 AE29:AF29 AH29:AI29 AK28:AL28 AN29:AP29 P31:Q31 S31:T31 S28:T28 AE28:AF28 AH28:AI28 AN28:AO28 P65:Q65 AB65:AC65 AN65:AP65 X121:Y121 AD121:AE121 S32:T33 S35:T35 S66:T71 S65:T65 V66:W71 V65:W65 V30:W30 V34:W34 V31:W31 V28:W28 V32:W33 V35:W35 Y29:Z29 Y30:Z30 Y34:Z34 Y31:Z31 Y32:Z33 Y35:Z35 Y66:Z71 Y65:Z65 AB66:AC71 AB29:AC29 AB30:AC30 AB34:AC34 AB31:AC31 AB32:AC33 AB35:AC35 AE30:AF30 AE34:AF34 AE31:AF31 AE32:AF33 AE35:AF35 AE65:AF65 AE66:AF71 AH65:AI65 AH66:AI71 AH30:AI30 AH34:AI34 AH31:AI31 AH32:AI33 AH35:AI35 AK29:AL29 AK30:AL30 AK34:AL34 AK31:AL31 AK32:AL33 AK35:AL35 AN30:AP30 AN34:AP34 AN31:AP31 AN32:AP33 AN35:AP35 AN66:AP71 AK65:AL65 AK66:AL71 R98:S102 R104:S104 R103:S103 X98:Y102 X104:Y104 X103:Y103 AA98:AB102 AA104:AB104 AA103:AB103 U98:V102 U104:V104 U103:V103 AD98:AE102 AD104:AE104 AD103:AE103 AG98:AH102 AG104:AH104 AG103:AH103 AJ98:AK102 AJ104:AK104 AJ103:AK103 AM98:AN102 AM104:AN104 AM103:AN103 AP98:AP102 AP104 AP114:AR117 I20:I26 G26:G35 F163 I74:I76 I56:I71 I38:I40 I27:I35 I54:I55 I72 I36:I37 I73 I77:I89 I41:I53 F12 AP119 F9 I120 D13 F183 R121:S121 AG121:AH121 AJ121:AK121 AM121:AN121 AP121:AQ121" unlockedFormula="1"/>
    <ignoredError sqref="AQ37:AR37 AR21:AR27 AQ55:AR55 AR38 AR39:AR40 AQ73:AR73 AR56 AR57:AR64 AQ93:AR104 AR75:AR76 AR28 AR29:AR35 AR65:AR71" formula="1" unlockedFormula="1"/>
  </ignoredErrors>
  <drawing r:id="rId3"/>
  <legacyDrawing r:id="rId4"/>
  <extLst>
    <ext xmlns:x14="http://schemas.microsoft.com/office/spreadsheetml/2009/9/main" uri="{CCE6A557-97BC-4b89-ADB6-D9C93CAAB3DF}">
      <x14:dataValidations xmlns:xm="http://schemas.microsoft.com/office/excel/2006/main" count="4">
        <x14:dataValidation type="list" allowBlank="1" showInputMessage="1" showErrorMessage="1" xr:uid="{EBA22380-E98A-4146-8FD5-7B6B157BB32F}">
          <x14:formula1>
            <xm:f>Lists!$L$3:$L$4</xm:f>
          </x14:formula1>
          <xm:sqref>K20:K35 K56:K71 E147 E119:E120 K95:K110 K112:K120</xm:sqref>
        </x14:dataValidation>
        <x14:dataValidation type="list" errorStyle="warning" allowBlank="1" showInputMessage="1" showErrorMessage="1" xr:uid="{A51E5A44-15C1-49CC-81CF-698DC23CA6AB}">
          <x14:formula1>
            <xm:f>Lists!$S$2:$S$12</xm:f>
          </x14:formula1>
          <xm:sqref>D11</xm:sqref>
        </x14:dataValidation>
        <x14:dataValidation type="list" allowBlank="1" showInputMessage="1" showErrorMessage="1" xr:uid="{1C3EFC56-9DCB-4055-8A77-E9CDEE69E42F}">
          <x14:formula1>
            <xm:f>Lists!$AB$2:$AB$4</xm:f>
          </x14:formula1>
          <xm:sqref>AT18</xm:sqref>
        </x14:dataValidation>
        <x14:dataValidation type="list" allowBlank="1" showErrorMessage="1" prompt="Select faculty" xr:uid="{86CA676D-D378-47EF-A780-024270FCFEB2}">
          <x14:formula1>
            <xm:f>IF(InstitutionPartner1="AU",Lists!C3:C7,Lists!C10:C16)</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C0545-A66F-495C-A45D-91CCE2D4DDA2}">
  <sheetPr>
    <tabColor theme="0" tint="-0.14999847407452621"/>
  </sheetPr>
  <dimension ref="C11:N21"/>
  <sheetViews>
    <sheetView topLeftCell="A7" workbookViewId="0">
      <selection activeCell="H19" sqref="H19"/>
    </sheetView>
  </sheetViews>
  <sheetFormatPr baseColWidth="10" defaultColWidth="8.83203125" defaultRowHeight="15" x14ac:dyDescent="0.2"/>
  <cols>
    <col min="8" max="8" width="11" bestFit="1" customWidth="1"/>
    <col min="14" max="14" width="10.5" bestFit="1" customWidth="1"/>
  </cols>
  <sheetData>
    <row r="11" spans="3:6" x14ac:dyDescent="0.2">
      <c r="C11" s="78"/>
    </row>
    <row r="12" spans="3:6" x14ac:dyDescent="0.2">
      <c r="C12" s="78"/>
    </row>
    <row r="13" spans="3:6" x14ac:dyDescent="0.2">
      <c r="F13" s="343"/>
    </row>
    <row r="16" spans="3:6" ht="16" thickBot="1" x14ac:dyDescent="0.25"/>
    <row r="17" spans="8:14" ht="16" thickBot="1" x14ac:dyDescent="0.25">
      <c r="H17" s="583">
        <f>YEARFRAC(AU!$L$17,IF(YEAR(AU!$N$17)=YEAR(AU!$L$1),AU!$N$17,DATE(YEAR(AU!$L$1),12,31)))*12</f>
        <v>3</v>
      </c>
      <c r="I17" s="583"/>
    </row>
    <row r="18" spans="8:14" ht="16" thickBot="1" x14ac:dyDescent="0.25">
      <c r="H18" s="583">
        <f>AU!L18-H17</f>
        <v>9</v>
      </c>
      <c r="I18" s="583"/>
    </row>
    <row r="19" spans="8:14" x14ac:dyDescent="0.2">
      <c r="H19" s="585">
        <f>SUM(H17:H18)</f>
        <v>12</v>
      </c>
    </row>
    <row r="21" spans="8:14" x14ac:dyDescent="0.2">
      <c r="N21" s="58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A2D28-4ADF-4448-9DDF-0216AA5FCA03}">
  <sheetPr>
    <tabColor theme="8" tint="0.79998168889431442"/>
  </sheetPr>
  <dimension ref="B1:AC112"/>
  <sheetViews>
    <sheetView showGridLines="0" zoomScale="75" zoomScaleNormal="75" workbookViewId="0">
      <selection activeCell="B2" sqref="B2"/>
    </sheetView>
  </sheetViews>
  <sheetFormatPr baseColWidth="10" defaultColWidth="9.1640625" defaultRowHeight="15" outlineLevelRow="2" outlineLevelCol="1" x14ac:dyDescent="0.2"/>
  <cols>
    <col min="1" max="1" width="2.6640625" style="78" customWidth="1"/>
    <col min="2" max="2" width="42" style="78" customWidth="1"/>
    <col min="3" max="3" width="29.83203125" style="78" bestFit="1" customWidth="1"/>
    <col min="4" max="8" width="11.6640625" style="78" bestFit="1" customWidth="1"/>
    <col min="9" max="9" width="11.6640625" style="78" customWidth="1"/>
    <col min="10" max="13" width="11.6640625" style="78" hidden="1" customWidth="1" outlineLevel="1"/>
    <col min="14" max="14" width="12.83203125" style="78" bestFit="1" customWidth="1" collapsed="1"/>
    <col min="15" max="15" width="5.1640625" style="78" customWidth="1"/>
    <col min="16" max="16" width="3.83203125" style="78" customWidth="1"/>
    <col min="17" max="17" width="32.5" style="78" customWidth="1"/>
    <col min="18" max="18" width="27.83203125" style="78" customWidth="1"/>
    <col min="19" max="23" width="11.6640625" style="78" bestFit="1" customWidth="1"/>
    <col min="24" max="24" width="11.6640625" style="78" customWidth="1"/>
    <col min="25" max="28" width="11.6640625" style="78" hidden="1" customWidth="1" outlineLevel="1"/>
    <col min="29" max="29" width="12.83203125" style="78" bestFit="1" customWidth="1" collapsed="1"/>
    <col min="30" max="16384" width="9.1640625" style="78"/>
  </cols>
  <sheetData>
    <row r="1" spans="2:29" ht="20" thickBot="1" x14ac:dyDescent="0.3">
      <c r="B1" s="520" t="s">
        <v>102</v>
      </c>
      <c r="C1" s="521"/>
      <c r="D1" s="521"/>
      <c r="E1" s="521"/>
      <c r="F1" s="521"/>
      <c r="G1" s="521"/>
      <c r="H1" s="521"/>
      <c r="I1" s="521"/>
      <c r="J1" s="521"/>
      <c r="K1" s="521"/>
      <c r="L1" s="521"/>
      <c r="M1" s="521"/>
      <c r="N1" s="522"/>
      <c r="Q1" s="289" t="s">
        <v>107</v>
      </c>
      <c r="R1" s="290"/>
      <c r="S1" s="290"/>
      <c r="T1" s="290"/>
      <c r="U1" s="290"/>
      <c r="V1" s="290"/>
      <c r="W1" s="290"/>
      <c r="X1" s="290"/>
      <c r="Y1" s="290"/>
      <c r="Z1" s="290"/>
      <c r="AA1" s="290"/>
      <c r="AB1" s="290"/>
      <c r="AC1" s="291"/>
    </row>
    <row r="2" spans="2:29" ht="12.75" customHeight="1" thickBot="1" x14ac:dyDescent="0.25">
      <c r="B2" s="144"/>
      <c r="Q2" s="144"/>
    </row>
    <row r="3" spans="2:29" outlineLevel="1" x14ac:dyDescent="0.2">
      <c r="B3" s="523" t="str">
        <f>AU!C19 &amp; "  Man months"</f>
        <v>1. VIP  Man months</v>
      </c>
      <c r="C3" s="533"/>
      <c r="D3" s="525" t="str">
        <f>AU!L15</f>
        <v>Year 1</v>
      </c>
      <c r="E3" s="526" t="str">
        <f>AU!O15</f>
        <v>Year 2</v>
      </c>
      <c r="F3" s="526" t="str">
        <f>AU!R15</f>
        <v>Year 3</v>
      </c>
      <c r="G3" s="526" t="str">
        <f>AU!U15</f>
        <v>Year 4</v>
      </c>
      <c r="H3" s="526" t="str">
        <f>AU!X15</f>
        <v>Year 5</v>
      </c>
      <c r="I3" s="526" t="str">
        <f>AU!AA15</f>
        <v>Year 6</v>
      </c>
      <c r="J3" s="526" t="str">
        <f>AU!AD15</f>
        <v>Year 7</v>
      </c>
      <c r="K3" s="526" t="str">
        <f>AU!AG15</f>
        <v>Year 8</v>
      </c>
      <c r="L3" s="526" t="str">
        <f>AU!AJ15</f>
        <v>Year 9</v>
      </c>
      <c r="M3" s="527" t="str">
        <f>AU!AM15</f>
        <v>Year 10</v>
      </c>
      <c r="N3" s="528" t="s">
        <v>120</v>
      </c>
      <c r="O3" s="145"/>
      <c r="Q3" s="257" t="str">
        <f>B3</f>
        <v>1. VIP  Man months</v>
      </c>
      <c r="R3" s="258"/>
      <c r="S3" s="306" t="str">
        <f>AU!L15</f>
        <v>Year 1</v>
      </c>
      <c r="T3" s="307" t="str">
        <f>AU!O15</f>
        <v>Year 2</v>
      </c>
      <c r="U3" s="307" t="str">
        <f>AU!R15</f>
        <v>Year 3</v>
      </c>
      <c r="V3" s="307" t="str">
        <f>AU!U15</f>
        <v>Year 4</v>
      </c>
      <c r="W3" s="307" t="str">
        <f>AU!X15</f>
        <v>Year 5</v>
      </c>
      <c r="X3" s="307" t="str">
        <f>AU!AA15</f>
        <v>Year 6</v>
      </c>
      <c r="Y3" s="307" t="str">
        <f>AU!AD15</f>
        <v>Year 7</v>
      </c>
      <c r="Z3" s="307" t="str">
        <f>AU!AG15</f>
        <v>Year 8</v>
      </c>
      <c r="AA3" s="307" t="str">
        <f>AU!AJ15</f>
        <v>Year 9</v>
      </c>
      <c r="AB3" s="308" t="str">
        <f>AU!AM15</f>
        <v>Year 10</v>
      </c>
      <c r="AC3" s="256" t="s">
        <v>120</v>
      </c>
    </row>
    <row r="4" spans="2:29" outlineLevel="1" x14ac:dyDescent="0.2">
      <c r="B4" s="146" t="str">
        <f>AU!C20</f>
        <v>Postdoc</v>
      </c>
      <c r="C4" s="147" t="str">
        <f>IF(AU!F20=0,"",AU!F20)</f>
        <v/>
      </c>
      <c r="D4" s="148">
        <f>AU!L20</f>
        <v>12</v>
      </c>
      <c r="E4" s="149">
        <f>AU!O20</f>
        <v>12</v>
      </c>
      <c r="F4" s="88">
        <f>AU!R20</f>
        <v>12</v>
      </c>
      <c r="G4" s="149">
        <f>AU!U20</f>
        <v>0</v>
      </c>
      <c r="H4" s="149">
        <f>AU!X20</f>
        <v>0</v>
      </c>
      <c r="I4" s="149">
        <f>AU!AA20</f>
        <v>0</v>
      </c>
      <c r="J4" s="149">
        <f>AU!AD20</f>
        <v>0</v>
      </c>
      <c r="K4" s="149">
        <f>AU!AG20</f>
        <v>0</v>
      </c>
      <c r="L4" s="149">
        <f>AU!AJ20</f>
        <v>0</v>
      </c>
      <c r="M4" s="149">
        <f>AU!AM20</f>
        <v>0</v>
      </c>
      <c r="N4" s="150">
        <f>SUM(D4:M4)</f>
        <v>36</v>
      </c>
      <c r="O4" s="139"/>
      <c r="Q4" s="261" t="str">
        <f>AU!C38</f>
        <v xml:space="preserve"> - </v>
      </c>
      <c r="R4" s="262" t="str">
        <f>IF(AU!F38=0,"",AU!F38)</f>
        <v/>
      </c>
      <c r="S4" s="263">
        <f>AU!L38</f>
        <v>0</v>
      </c>
      <c r="T4" s="264">
        <f>AU!O38</f>
        <v>0</v>
      </c>
      <c r="U4" s="265">
        <f>AU!R38</f>
        <v>0</v>
      </c>
      <c r="V4" s="264">
        <f>AU!U38</f>
        <v>0</v>
      </c>
      <c r="W4" s="264">
        <f>AU!X38</f>
        <v>0</v>
      </c>
      <c r="X4" s="264">
        <f>AU!AA38</f>
        <v>0</v>
      </c>
      <c r="Y4" s="264">
        <f>AU!AD38</f>
        <v>0</v>
      </c>
      <c r="Z4" s="264">
        <f>AU!AG38</f>
        <v>0</v>
      </c>
      <c r="AA4" s="264">
        <f>AU!AJ38</f>
        <v>0</v>
      </c>
      <c r="AB4" s="264">
        <f>AU!AM38</f>
        <v>0</v>
      </c>
      <c r="AC4" s="266">
        <f>SUM(S4:AB4)</f>
        <v>0</v>
      </c>
    </row>
    <row r="5" spans="2:29" outlineLevel="1" x14ac:dyDescent="0.2">
      <c r="B5" s="151" t="str">
        <f>AU!C21</f>
        <v>Postdoc</v>
      </c>
      <c r="C5" s="152" t="str">
        <f>IF(AU!F21=0,"",AU!F21)</f>
        <v/>
      </c>
      <c r="D5" s="153">
        <f>AU!L21</f>
        <v>0</v>
      </c>
      <c r="E5" s="154">
        <f>AU!O21</f>
        <v>12</v>
      </c>
      <c r="F5" s="154">
        <f>AU!R21</f>
        <v>12</v>
      </c>
      <c r="G5" s="154">
        <f>AU!U21</f>
        <v>12</v>
      </c>
      <c r="H5" s="154">
        <f>AU!X21</f>
        <v>0</v>
      </c>
      <c r="I5" s="154">
        <f>AU!AA21</f>
        <v>0</v>
      </c>
      <c r="J5" s="154">
        <f>AU!AD21</f>
        <v>0</v>
      </c>
      <c r="K5" s="154">
        <f>AU!AG21</f>
        <v>0</v>
      </c>
      <c r="L5" s="154">
        <f>AU!AJ21</f>
        <v>0</v>
      </c>
      <c r="M5" s="154">
        <f>AU!AM21</f>
        <v>0</v>
      </c>
      <c r="N5" s="155">
        <f t="shared" ref="N5:N19" si="0">SUM(D5:M5)</f>
        <v>36</v>
      </c>
      <c r="O5" s="139"/>
      <c r="Q5" s="267" t="str">
        <f>AU!C39</f>
        <v xml:space="preserve"> - </v>
      </c>
      <c r="R5" s="268" t="str">
        <f>IF(AU!F39=0,"",AU!F39)</f>
        <v/>
      </c>
      <c r="S5" s="269">
        <f>AU!L39</f>
        <v>0</v>
      </c>
      <c r="T5" s="270">
        <f>AU!O39</f>
        <v>0</v>
      </c>
      <c r="U5" s="270">
        <f>AU!R39</f>
        <v>0</v>
      </c>
      <c r="V5" s="270">
        <f>AU!U39</f>
        <v>0</v>
      </c>
      <c r="W5" s="270">
        <f>AU!X39</f>
        <v>0</v>
      </c>
      <c r="X5" s="270">
        <f>AU!AA39</f>
        <v>0</v>
      </c>
      <c r="Y5" s="270">
        <f>AU!AD39</f>
        <v>0</v>
      </c>
      <c r="Z5" s="270">
        <f>AU!AG39</f>
        <v>0</v>
      </c>
      <c r="AA5" s="270">
        <f>AU!AJ39</f>
        <v>0</v>
      </c>
      <c r="AB5" s="270">
        <f>AU!AM39</f>
        <v>0</v>
      </c>
      <c r="AC5" s="271">
        <f>SUM(S5:AB5)</f>
        <v>0</v>
      </c>
    </row>
    <row r="6" spans="2:29" outlineLevel="1" x14ac:dyDescent="0.2">
      <c r="B6" s="151" t="str">
        <f>AU!C22</f>
        <v>Postdoc</v>
      </c>
      <c r="C6" s="152" t="str">
        <f>IF(AU!F22=0,"",AU!F22)</f>
        <v/>
      </c>
      <c r="D6" s="153">
        <f>AU!L22</f>
        <v>0</v>
      </c>
      <c r="E6" s="154">
        <f>AU!O22</f>
        <v>0</v>
      </c>
      <c r="F6" s="154">
        <f>AU!R22</f>
        <v>6</v>
      </c>
      <c r="G6" s="154">
        <f>AU!U22</f>
        <v>12</v>
      </c>
      <c r="H6" s="154">
        <f>AU!X22</f>
        <v>12</v>
      </c>
      <c r="I6" s="154">
        <f>AU!AA22</f>
        <v>6</v>
      </c>
      <c r="J6" s="154">
        <f>AU!AD22</f>
        <v>0</v>
      </c>
      <c r="K6" s="154">
        <f>AU!AG22</f>
        <v>0</v>
      </c>
      <c r="L6" s="154">
        <f>AU!AJ22</f>
        <v>0</v>
      </c>
      <c r="M6" s="154">
        <f>AU!AM22</f>
        <v>0</v>
      </c>
      <c r="N6" s="155">
        <f t="shared" si="0"/>
        <v>36</v>
      </c>
      <c r="O6" s="139"/>
      <c r="Q6" s="267" t="str">
        <f>AU!C40</f>
        <v xml:space="preserve"> - </v>
      </c>
      <c r="R6" s="268" t="str">
        <f>IF(AU!F40=0,"",AU!F40)</f>
        <v/>
      </c>
      <c r="S6" s="269">
        <f>AU!L40</f>
        <v>0</v>
      </c>
      <c r="T6" s="270">
        <f>AU!O40</f>
        <v>0</v>
      </c>
      <c r="U6" s="270">
        <f>AU!R40</f>
        <v>0</v>
      </c>
      <c r="V6" s="270">
        <f>AU!U40</f>
        <v>0</v>
      </c>
      <c r="W6" s="270">
        <f>AU!X40</f>
        <v>0</v>
      </c>
      <c r="X6" s="270">
        <f>AU!AA40</f>
        <v>0</v>
      </c>
      <c r="Y6" s="270">
        <f>AU!AD40</f>
        <v>0</v>
      </c>
      <c r="Z6" s="270">
        <f>AU!AG40</f>
        <v>0</v>
      </c>
      <c r="AA6" s="270">
        <f>AU!AJ40</f>
        <v>0</v>
      </c>
      <c r="AB6" s="270">
        <f>AU!AM40</f>
        <v>0</v>
      </c>
      <c r="AC6" s="271">
        <f>SUM(S6:AB6)</f>
        <v>0</v>
      </c>
    </row>
    <row r="7" spans="2:29" outlineLevel="1" x14ac:dyDescent="0.2">
      <c r="B7" s="151" t="str">
        <f>AU!C23</f>
        <v>PhD Student</v>
      </c>
      <c r="C7" s="152" t="str">
        <f>IF(AU!F23=0,"",AU!F23)</f>
        <v/>
      </c>
      <c r="D7" s="148">
        <f>AU!L23</f>
        <v>6</v>
      </c>
      <c r="E7" s="149">
        <f>AU!O23</f>
        <v>12</v>
      </c>
      <c r="F7" s="149">
        <f>AU!R23</f>
        <v>12</v>
      </c>
      <c r="G7" s="149">
        <f>AU!U23</f>
        <v>6</v>
      </c>
      <c r="H7" s="149">
        <f>AU!X23</f>
        <v>0</v>
      </c>
      <c r="I7" s="149">
        <f>AU!AA23</f>
        <v>0</v>
      </c>
      <c r="J7" s="149">
        <f>AU!AD23</f>
        <v>0</v>
      </c>
      <c r="K7" s="149">
        <f>AU!AG23</f>
        <v>0</v>
      </c>
      <c r="L7" s="149">
        <f>AU!AJ23</f>
        <v>0</v>
      </c>
      <c r="M7" s="149">
        <f>AU!AM23</f>
        <v>0</v>
      </c>
      <c r="N7" s="150">
        <f t="shared" si="0"/>
        <v>36</v>
      </c>
      <c r="O7" s="139"/>
      <c r="Q7" s="267" t="str">
        <f>AU!C41</f>
        <v xml:space="preserve"> - </v>
      </c>
      <c r="R7" s="268" t="str">
        <f>IF(AU!F41=0,"",AU!F41)</f>
        <v/>
      </c>
      <c r="S7" s="269">
        <f>AU!L41</f>
        <v>0</v>
      </c>
      <c r="T7" s="270">
        <f>AU!O41</f>
        <v>0</v>
      </c>
      <c r="U7" s="270">
        <f>AU!R41</f>
        <v>0</v>
      </c>
      <c r="V7" s="270">
        <f>AU!U41</f>
        <v>0</v>
      </c>
      <c r="W7" s="270">
        <f>AU!X41</f>
        <v>0</v>
      </c>
      <c r="X7" s="270">
        <f>AU!AA41</f>
        <v>0</v>
      </c>
      <c r="Y7" s="270">
        <f>AU!AD41</f>
        <v>0</v>
      </c>
      <c r="Z7" s="270">
        <f>AU!AG41</f>
        <v>0</v>
      </c>
      <c r="AA7" s="270">
        <f>AU!AJ41</f>
        <v>0</v>
      </c>
      <c r="AB7" s="270">
        <f>AU!AM41</f>
        <v>0</v>
      </c>
      <c r="AC7" s="271">
        <f t="shared" ref="AC7:AC19" si="1">SUM(S7:AB7)</f>
        <v>0</v>
      </c>
    </row>
    <row r="8" spans="2:29" outlineLevel="1" x14ac:dyDescent="0.2">
      <c r="B8" s="151" t="str">
        <f>AU!C24</f>
        <v>PhD Student</v>
      </c>
      <c r="C8" s="152" t="str">
        <f>IF(AU!F24=0,"",AU!F24)</f>
        <v/>
      </c>
      <c r="D8" s="153">
        <f>AU!L24</f>
        <v>0</v>
      </c>
      <c r="E8" s="154">
        <f>AU!O24</f>
        <v>0</v>
      </c>
      <c r="F8" s="154">
        <f>AU!R24</f>
        <v>6</v>
      </c>
      <c r="G8" s="154">
        <f>AU!U24</f>
        <v>12</v>
      </c>
      <c r="H8" s="154">
        <f>AU!X24</f>
        <v>12</v>
      </c>
      <c r="I8" s="154">
        <f>AU!AA24</f>
        <v>6</v>
      </c>
      <c r="J8" s="154">
        <f>AU!AD24</f>
        <v>0</v>
      </c>
      <c r="K8" s="154">
        <f>AU!AG24</f>
        <v>0</v>
      </c>
      <c r="L8" s="154">
        <f>AU!AJ24</f>
        <v>0</v>
      </c>
      <c r="M8" s="154">
        <f>AU!AM24</f>
        <v>0</v>
      </c>
      <c r="N8" s="155">
        <f t="shared" si="0"/>
        <v>36</v>
      </c>
      <c r="O8" s="139"/>
      <c r="Q8" s="267" t="str">
        <f>AU!C42</f>
        <v xml:space="preserve"> - </v>
      </c>
      <c r="R8" s="268" t="str">
        <f>IF(AU!F42=0,"",AU!F42)</f>
        <v/>
      </c>
      <c r="S8" s="269">
        <f>AU!L42</f>
        <v>0</v>
      </c>
      <c r="T8" s="270">
        <f>AU!O42</f>
        <v>0</v>
      </c>
      <c r="U8" s="270">
        <f>AU!R42</f>
        <v>0</v>
      </c>
      <c r="V8" s="270">
        <f>AU!U42</f>
        <v>0</v>
      </c>
      <c r="W8" s="270">
        <f>AU!X42</f>
        <v>0</v>
      </c>
      <c r="X8" s="270">
        <f>AU!AA42</f>
        <v>0</v>
      </c>
      <c r="Y8" s="270">
        <f>AU!AD42</f>
        <v>0</v>
      </c>
      <c r="Z8" s="270">
        <f>AU!AG42</f>
        <v>0</v>
      </c>
      <c r="AA8" s="270">
        <f>AU!AJ42</f>
        <v>0</v>
      </c>
      <c r="AB8" s="270">
        <f>AU!AM42</f>
        <v>0</v>
      </c>
      <c r="AC8" s="271">
        <f t="shared" si="1"/>
        <v>0</v>
      </c>
    </row>
    <row r="9" spans="2:29" outlineLevel="1" x14ac:dyDescent="0.2">
      <c r="B9" s="151" t="str">
        <f>AU!C25</f>
        <v xml:space="preserve"> - </v>
      </c>
      <c r="C9" s="152" t="str">
        <f>IF(AU!F25=0,"",AU!F25)</f>
        <v/>
      </c>
      <c r="D9" s="148">
        <f>AU!L25</f>
        <v>0</v>
      </c>
      <c r="E9" s="149">
        <f>AU!O25</f>
        <v>0</v>
      </c>
      <c r="F9" s="149">
        <f>AU!R25</f>
        <v>0</v>
      </c>
      <c r="G9" s="149">
        <f>AU!U25</f>
        <v>0</v>
      </c>
      <c r="H9" s="149">
        <f>AU!X25</f>
        <v>0</v>
      </c>
      <c r="I9" s="149">
        <f>AU!AA25</f>
        <v>0</v>
      </c>
      <c r="J9" s="149">
        <f>AU!AD25</f>
        <v>0</v>
      </c>
      <c r="K9" s="149">
        <f>AU!AG25</f>
        <v>0</v>
      </c>
      <c r="L9" s="149">
        <f>AU!AJ25</f>
        <v>0</v>
      </c>
      <c r="M9" s="149">
        <f>AU!AM25</f>
        <v>0</v>
      </c>
      <c r="N9" s="150">
        <f t="shared" si="0"/>
        <v>0</v>
      </c>
      <c r="O9" s="139"/>
      <c r="Q9" s="267" t="str">
        <f>AU!C43</f>
        <v xml:space="preserve"> - </v>
      </c>
      <c r="R9" s="268" t="str">
        <f>IF(AU!F43=0,"",AU!F43)</f>
        <v/>
      </c>
      <c r="S9" s="269">
        <f>AU!L43</f>
        <v>0</v>
      </c>
      <c r="T9" s="270">
        <f>AU!O43</f>
        <v>0</v>
      </c>
      <c r="U9" s="270">
        <f>AU!R43</f>
        <v>0</v>
      </c>
      <c r="V9" s="270">
        <f>AU!U43</f>
        <v>0</v>
      </c>
      <c r="W9" s="270">
        <f>AU!X43</f>
        <v>0</v>
      </c>
      <c r="X9" s="270">
        <f>AU!AA43</f>
        <v>0</v>
      </c>
      <c r="Y9" s="270">
        <f>AU!AD43</f>
        <v>0</v>
      </c>
      <c r="Z9" s="270">
        <f>AU!AG43</f>
        <v>0</v>
      </c>
      <c r="AA9" s="270">
        <f>AU!AJ43</f>
        <v>0</v>
      </c>
      <c r="AB9" s="270">
        <f>AU!AM43</f>
        <v>0</v>
      </c>
      <c r="AC9" s="271">
        <f t="shared" si="1"/>
        <v>0</v>
      </c>
    </row>
    <row r="10" spans="2:29" outlineLevel="1" x14ac:dyDescent="0.2">
      <c r="B10" s="151" t="str">
        <f>AU!C26</f>
        <v xml:space="preserve"> - </v>
      </c>
      <c r="C10" s="152" t="str">
        <f>IF(AU!F26=0,"",AU!F26)</f>
        <v/>
      </c>
      <c r="D10" s="148">
        <f>AU!L26</f>
        <v>0</v>
      </c>
      <c r="E10" s="149">
        <f>AU!O26</f>
        <v>0</v>
      </c>
      <c r="F10" s="149">
        <f>AU!R26</f>
        <v>0</v>
      </c>
      <c r="G10" s="149">
        <f>AU!U26</f>
        <v>0</v>
      </c>
      <c r="H10" s="149">
        <f>AU!X26</f>
        <v>0</v>
      </c>
      <c r="I10" s="149">
        <f>AU!AA26</f>
        <v>0</v>
      </c>
      <c r="J10" s="149">
        <f>AU!AD26</f>
        <v>0</v>
      </c>
      <c r="K10" s="149">
        <f>AU!AG26</f>
        <v>0</v>
      </c>
      <c r="L10" s="149">
        <f>AU!AJ26</f>
        <v>0</v>
      </c>
      <c r="M10" s="149">
        <f>AU!AM26</f>
        <v>0</v>
      </c>
      <c r="N10" s="150">
        <f t="shared" si="0"/>
        <v>0</v>
      </c>
      <c r="O10" s="139"/>
      <c r="Q10" s="267" t="str">
        <f>AU!C44</f>
        <v xml:space="preserve"> - </v>
      </c>
      <c r="R10" s="268" t="str">
        <f>IF(AU!F44=0,"",AU!F44)</f>
        <v/>
      </c>
      <c r="S10" s="269">
        <f>AU!L44</f>
        <v>0</v>
      </c>
      <c r="T10" s="270">
        <f>AU!O44</f>
        <v>0</v>
      </c>
      <c r="U10" s="270">
        <f>AU!R44</f>
        <v>0</v>
      </c>
      <c r="V10" s="270">
        <f>AU!U44</f>
        <v>0</v>
      </c>
      <c r="W10" s="270">
        <f>AU!X44</f>
        <v>0</v>
      </c>
      <c r="X10" s="270">
        <f>AU!AA44</f>
        <v>0</v>
      </c>
      <c r="Y10" s="270">
        <f>AU!AD44</f>
        <v>0</v>
      </c>
      <c r="Z10" s="270">
        <f>AU!AG44</f>
        <v>0</v>
      </c>
      <c r="AA10" s="270">
        <f>AU!AJ44</f>
        <v>0</v>
      </c>
      <c r="AB10" s="270">
        <f>AU!AM44</f>
        <v>0</v>
      </c>
      <c r="AC10" s="271">
        <f t="shared" si="1"/>
        <v>0</v>
      </c>
    </row>
    <row r="11" spans="2:29" outlineLevel="1" x14ac:dyDescent="0.2">
      <c r="B11" s="151" t="str">
        <f>AU!C27</f>
        <v xml:space="preserve"> - </v>
      </c>
      <c r="C11" s="152" t="str">
        <f>IF(AU!F27=0,"",AU!F27)</f>
        <v/>
      </c>
      <c r="D11" s="148">
        <f>AU!L27</f>
        <v>0</v>
      </c>
      <c r="E11" s="149">
        <f>AU!O27</f>
        <v>0</v>
      </c>
      <c r="F11" s="149">
        <f>AU!R27</f>
        <v>0</v>
      </c>
      <c r="G11" s="149">
        <f>AU!U27</f>
        <v>0</v>
      </c>
      <c r="H11" s="149">
        <f>AU!X27</f>
        <v>0</v>
      </c>
      <c r="I11" s="149">
        <f>AU!AA27</f>
        <v>0</v>
      </c>
      <c r="J11" s="149">
        <f>AU!AD27</f>
        <v>0</v>
      </c>
      <c r="K11" s="149">
        <f>AU!AG27</f>
        <v>0</v>
      </c>
      <c r="L11" s="149">
        <f>AU!AJ27</f>
        <v>0</v>
      </c>
      <c r="M11" s="149">
        <f>AU!AM27</f>
        <v>0</v>
      </c>
      <c r="N11" s="150">
        <f t="shared" si="0"/>
        <v>0</v>
      </c>
      <c r="O11" s="139"/>
      <c r="Q11" s="267" t="str">
        <f>AU!C45</f>
        <v xml:space="preserve"> - </v>
      </c>
      <c r="R11" s="268" t="str">
        <f>IF(AU!F45=0,"",AU!F45)</f>
        <v/>
      </c>
      <c r="S11" s="269">
        <f>AU!L45</f>
        <v>0</v>
      </c>
      <c r="T11" s="270">
        <f>AU!O45</f>
        <v>0</v>
      </c>
      <c r="U11" s="270">
        <f>AU!R45</f>
        <v>0</v>
      </c>
      <c r="V11" s="270">
        <f>AU!U45</f>
        <v>0</v>
      </c>
      <c r="W11" s="270">
        <f>AU!X45</f>
        <v>0</v>
      </c>
      <c r="X11" s="270">
        <f>AU!AA45</f>
        <v>0</v>
      </c>
      <c r="Y11" s="270">
        <f>AU!AD45</f>
        <v>0</v>
      </c>
      <c r="Z11" s="270">
        <f>AU!AG45</f>
        <v>0</v>
      </c>
      <c r="AA11" s="270">
        <f>AU!AJ45</f>
        <v>0</v>
      </c>
      <c r="AB11" s="270">
        <f>AU!AM45</f>
        <v>0</v>
      </c>
      <c r="AC11" s="271">
        <f t="shared" si="1"/>
        <v>0</v>
      </c>
    </row>
    <row r="12" spans="2:29" hidden="1" outlineLevel="2" x14ac:dyDescent="0.2">
      <c r="B12" s="151" t="str">
        <f>AU!C28</f>
        <v xml:space="preserve"> - </v>
      </c>
      <c r="C12" s="152" t="str">
        <f>IF(AU!F28=0,"",AU!F28)</f>
        <v/>
      </c>
      <c r="D12" s="148">
        <f>AU!L28</f>
        <v>0</v>
      </c>
      <c r="E12" s="149">
        <f>AU!O28</f>
        <v>0</v>
      </c>
      <c r="F12" s="149">
        <f>AU!R28</f>
        <v>0</v>
      </c>
      <c r="G12" s="149">
        <f>AU!U28</f>
        <v>0</v>
      </c>
      <c r="H12" s="149">
        <f>AU!X28</f>
        <v>0</v>
      </c>
      <c r="I12" s="149">
        <f>AU!AA28</f>
        <v>0</v>
      </c>
      <c r="J12" s="149">
        <f>AU!AD28</f>
        <v>0</v>
      </c>
      <c r="K12" s="149">
        <f>AU!AG28</f>
        <v>0</v>
      </c>
      <c r="L12" s="149">
        <f>AU!AJ28</f>
        <v>0</v>
      </c>
      <c r="M12" s="149">
        <f>AU!AM28</f>
        <v>0</v>
      </c>
      <c r="N12" s="150">
        <f>SUM(D12:M12)</f>
        <v>0</v>
      </c>
      <c r="O12" s="139"/>
      <c r="Q12" s="267" t="str">
        <f>AU!C46</f>
        <v xml:space="preserve"> - </v>
      </c>
      <c r="R12" s="268" t="str">
        <f>IF(AU!F46=0,"",AU!F46)</f>
        <v/>
      </c>
      <c r="S12" s="269">
        <f>AU!L46</f>
        <v>0</v>
      </c>
      <c r="T12" s="270">
        <f>AU!O46</f>
        <v>0</v>
      </c>
      <c r="U12" s="270">
        <f>AU!R46</f>
        <v>0</v>
      </c>
      <c r="V12" s="270">
        <f>AU!U46</f>
        <v>0</v>
      </c>
      <c r="W12" s="270">
        <f>AU!X46</f>
        <v>0</v>
      </c>
      <c r="X12" s="270">
        <f>AU!AA46</f>
        <v>0</v>
      </c>
      <c r="Y12" s="270">
        <f>AU!AD46</f>
        <v>0</v>
      </c>
      <c r="Z12" s="270">
        <f>AU!AG46</f>
        <v>0</v>
      </c>
      <c r="AA12" s="270">
        <f>AU!AJ46</f>
        <v>0</v>
      </c>
      <c r="AB12" s="270">
        <f>AU!AM46</f>
        <v>0</v>
      </c>
      <c r="AC12" s="271">
        <f t="shared" si="1"/>
        <v>0</v>
      </c>
    </row>
    <row r="13" spans="2:29" hidden="1" outlineLevel="2" x14ac:dyDescent="0.2">
      <c r="B13" s="151" t="str">
        <f>AU!C29</f>
        <v xml:space="preserve"> - </v>
      </c>
      <c r="C13" s="152" t="str">
        <f>IF(AU!F29=0,"",AU!F29)</f>
        <v/>
      </c>
      <c r="D13" s="148">
        <f>AU!L29</f>
        <v>0</v>
      </c>
      <c r="E13" s="149">
        <f>AU!O29</f>
        <v>0</v>
      </c>
      <c r="F13" s="149">
        <f>AU!R29</f>
        <v>0</v>
      </c>
      <c r="G13" s="149">
        <f>AU!U29</f>
        <v>0</v>
      </c>
      <c r="H13" s="149">
        <f>AU!X29</f>
        <v>0</v>
      </c>
      <c r="I13" s="149">
        <f>AU!AA29</f>
        <v>0</v>
      </c>
      <c r="J13" s="149">
        <f>AU!AD29</f>
        <v>0</v>
      </c>
      <c r="K13" s="149">
        <f>AU!AG29</f>
        <v>0</v>
      </c>
      <c r="L13" s="149">
        <f>AU!AJ29</f>
        <v>0</v>
      </c>
      <c r="M13" s="149">
        <f>AU!AM29</f>
        <v>0</v>
      </c>
      <c r="N13" s="150">
        <f t="shared" si="0"/>
        <v>0</v>
      </c>
      <c r="O13" s="139"/>
      <c r="Q13" s="267" t="str">
        <f>AU!C47</f>
        <v xml:space="preserve"> - </v>
      </c>
      <c r="R13" s="268" t="str">
        <f>IF(AU!F47=0,"",AU!F47)</f>
        <v/>
      </c>
      <c r="S13" s="269">
        <f>AU!L47</f>
        <v>0</v>
      </c>
      <c r="T13" s="270">
        <f>AU!O47</f>
        <v>0</v>
      </c>
      <c r="U13" s="270">
        <f>AU!R47</f>
        <v>0</v>
      </c>
      <c r="V13" s="270">
        <f>AU!U47</f>
        <v>0</v>
      </c>
      <c r="W13" s="270">
        <f>AU!X47</f>
        <v>0</v>
      </c>
      <c r="X13" s="270">
        <f>AU!AA47</f>
        <v>0</v>
      </c>
      <c r="Y13" s="270">
        <f>AU!AD47</f>
        <v>0</v>
      </c>
      <c r="Z13" s="270">
        <f>AU!AG47</f>
        <v>0</v>
      </c>
      <c r="AA13" s="270">
        <f>AU!AJ47</f>
        <v>0</v>
      </c>
      <c r="AB13" s="270">
        <f>AU!AM47</f>
        <v>0</v>
      </c>
      <c r="AC13" s="271">
        <f t="shared" si="1"/>
        <v>0</v>
      </c>
    </row>
    <row r="14" spans="2:29" hidden="1" outlineLevel="2" x14ac:dyDescent="0.2">
      <c r="B14" s="151" t="str">
        <f>AU!C30</f>
        <v xml:space="preserve"> - </v>
      </c>
      <c r="C14" s="152" t="str">
        <f>IF(AU!F30=0,"",AU!F30)</f>
        <v/>
      </c>
      <c r="D14" s="148">
        <f>AU!L30</f>
        <v>0</v>
      </c>
      <c r="E14" s="149">
        <f>AU!O30</f>
        <v>0</v>
      </c>
      <c r="F14" s="149">
        <f>AU!R30</f>
        <v>0</v>
      </c>
      <c r="G14" s="149">
        <f>AU!U30</f>
        <v>0</v>
      </c>
      <c r="H14" s="149">
        <f>AU!X30</f>
        <v>0</v>
      </c>
      <c r="I14" s="149">
        <f>AU!AA30</f>
        <v>0</v>
      </c>
      <c r="J14" s="149">
        <f>AU!AD30</f>
        <v>0</v>
      </c>
      <c r="K14" s="149">
        <f>AU!AG30</f>
        <v>0</v>
      </c>
      <c r="L14" s="149">
        <f>AU!AJ30</f>
        <v>0</v>
      </c>
      <c r="M14" s="149">
        <f>AU!AM30</f>
        <v>0</v>
      </c>
      <c r="N14" s="150">
        <f t="shared" si="0"/>
        <v>0</v>
      </c>
      <c r="O14" s="139"/>
      <c r="Q14" s="267" t="str">
        <f>AU!C48</f>
        <v xml:space="preserve"> - </v>
      </c>
      <c r="R14" s="268" t="str">
        <f>IF(AU!F48=0,"",AU!F48)</f>
        <v/>
      </c>
      <c r="S14" s="269">
        <f>AU!L48</f>
        <v>0</v>
      </c>
      <c r="T14" s="270">
        <f>AU!O48</f>
        <v>0</v>
      </c>
      <c r="U14" s="270">
        <f>AU!R48</f>
        <v>0</v>
      </c>
      <c r="V14" s="270">
        <f>AU!U48</f>
        <v>0</v>
      </c>
      <c r="W14" s="270">
        <f>AU!X48</f>
        <v>0</v>
      </c>
      <c r="X14" s="270">
        <f>AU!AA48</f>
        <v>0</v>
      </c>
      <c r="Y14" s="270">
        <f>AU!AD48</f>
        <v>0</v>
      </c>
      <c r="Z14" s="270">
        <f>AU!AG48</f>
        <v>0</v>
      </c>
      <c r="AA14" s="270">
        <f>AU!AJ48</f>
        <v>0</v>
      </c>
      <c r="AB14" s="270">
        <f>AU!AM48</f>
        <v>0</v>
      </c>
      <c r="AC14" s="271">
        <f t="shared" si="1"/>
        <v>0</v>
      </c>
    </row>
    <row r="15" spans="2:29" hidden="1" outlineLevel="2" x14ac:dyDescent="0.2">
      <c r="B15" s="151" t="str">
        <f>AU!C31</f>
        <v xml:space="preserve"> - </v>
      </c>
      <c r="C15" s="152" t="str">
        <f>IF(AU!F31=0,"",AU!F31)</f>
        <v/>
      </c>
      <c r="D15" s="148">
        <f>AU!L31</f>
        <v>0</v>
      </c>
      <c r="E15" s="149">
        <f>AU!O31</f>
        <v>0</v>
      </c>
      <c r="F15" s="149">
        <f>AU!R31</f>
        <v>0</v>
      </c>
      <c r="G15" s="149">
        <f>AU!U31</f>
        <v>0</v>
      </c>
      <c r="H15" s="149">
        <f>AU!X31</f>
        <v>0</v>
      </c>
      <c r="I15" s="149">
        <f>AU!AA31</f>
        <v>0</v>
      </c>
      <c r="J15" s="149">
        <f>AU!AD31</f>
        <v>0</v>
      </c>
      <c r="K15" s="149">
        <f>AU!AG31</f>
        <v>0</v>
      </c>
      <c r="L15" s="149">
        <f>AU!AJ31</f>
        <v>0</v>
      </c>
      <c r="M15" s="149">
        <f>AU!AM31</f>
        <v>0</v>
      </c>
      <c r="N15" s="150">
        <f t="shared" si="0"/>
        <v>0</v>
      </c>
      <c r="O15" s="139"/>
      <c r="Q15" s="267" t="str">
        <f>AU!C49</f>
        <v xml:space="preserve"> - </v>
      </c>
      <c r="R15" s="268" t="str">
        <f>IF(AU!F49=0,"",AU!F49)</f>
        <v/>
      </c>
      <c r="S15" s="269">
        <f>AU!L49</f>
        <v>0</v>
      </c>
      <c r="T15" s="270">
        <f>AU!O49</f>
        <v>0</v>
      </c>
      <c r="U15" s="270">
        <f>AU!R49</f>
        <v>0</v>
      </c>
      <c r="V15" s="270">
        <f>AU!U49</f>
        <v>0</v>
      </c>
      <c r="W15" s="270">
        <f>AU!X49</f>
        <v>0</v>
      </c>
      <c r="X15" s="270">
        <f>AU!AA49</f>
        <v>0</v>
      </c>
      <c r="Y15" s="270">
        <f>AU!AD49</f>
        <v>0</v>
      </c>
      <c r="Z15" s="270">
        <f>AU!AG49</f>
        <v>0</v>
      </c>
      <c r="AA15" s="270">
        <f>AU!AJ49</f>
        <v>0</v>
      </c>
      <c r="AB15" s="270">
        <f>AU!AM49</f>
        <v>0</v>
      </c>
      <c r="AC15" s="271">
        <f t="shared" si="1"/>
        <v>0</v>
      </c>
    </row>
    <row r="16" spans="2:29" hidden="1" outlineLevel="2" x14ac:dyDescent="0.2">
      <c r="B16" s="151" t="str">
        <f>AU!C32</f>
        <v xml:space="preserve"> - </v>
      </c>
      <c r="C16" s="152" t="str">
        <f>IF(AU!F32=0,"",AU!F32)</f>
        <v/>
      </c>
      <c r="D16" s="148">
        <f>AU!L32</f>
        <v>0</v>
      </c>
      <c r="E16" s="149">
        <f>AU!O32</f>
        <v>0</v>
      </c>
      <c r="F16" s="149">
        <f>AU!R32</f>
        <v>0</v>
      </c>
      <c r="G16" s="149">
        <f>AU!U32</f>
        <v>0</v>
      </c>
      <c r="H16" s="149">
        <f>AU!X32</f>
        <v>0</v>
      </c>
      <c r="I16" s="149">
        <f>AU!AA32</f>
        <v>0</v>
      </c>
      <c r="J16" s="149">
        <f>AU!AD32</f>
        <v>0</v>
      </c>
      <c r="K16" s="149">
        <f>AU!AG32</f>
        <v>0</v>
      </c>
      <c r="L16" s="149">
        <f>AU!AJ32</f>
        <v>0</v>
      </c>
      <c r="M16" s="149">
        <f>AU!AM32</f>
        <v>0</v>
      </c>
      <c r="N16" s="150">
        <f t="shared" si="0"/>
        <v>0</v>
      </c>
      <c r="O16" s="139"/>
      <c r="Q16" s="267" t="str">
        <f>AU!C50</f>
        <v xml:space="preserve"> - </v>
      </c>
      <c r="R16" s="268" t="str">
        <f>IF(AU!F50=0,"",AU!F50)</f>
        <v/>
      </c>
      <c r="S16" s="269">
        <f>AU!L50</f>
        <v>0</v>
      </c>
      <c r="T16" s="270">
        <f>AU!O50</f>
        <v>0</v>
      </c>
      <c r="U16" s="270">
        <f>AU!R50</f>
        <v>0</v>
      </c>
      <c r="V16" s="270">
        <f>AU!U50</f>
        <v>0</v>
      </c>
      <c r="W16" s="270">
        <f>AU!X50</f>
        <v>0</v>
      </c>
      <c r="X16" s="270">
        <f>AU!AA50</f>
        <v>0</v>
      </c>
      <c r="Y16" s="270">
        <f>AU!AD50</f>
        <v>0</v>
      </c>
      <c r="Z16" s="270">
        <f>AU!AG50</f>
        <v>0</v>
      </c>
      <c r="AA16" s="270">
        <f>AU!AJ50</f>
        <v>0</v>
      </c>
      <c r="AB16" s="270">
        <f>AU!AM50</f>
        <v>0</v>
      </c>
      <c r="AC16" s="271">
        <f t="shared" si="1"/>
        <v>0</v>
      </c>
    </row>
    <row r="17" spans="2:29" hidden="1" outlineLevel="2" x14ac:dyDescent="0.2">
      <c r="B17" s="151" t="str">
        <f>AU!C33</f>
        <v xml:space="preserve"> - </v>
      </c>
      <c r="C17" s="152" t="str">
        <f>IF(AU!F33=0,"",AU!F33)</f>
        <v/>
      </c>
      <c r="D17" s="148">
        <f>AU!L33</f>
        <v>0</v>
      </c>
      <c r="E17" s="149">
        <f>AU!O33</f>
        <v>0</v>
      </c>
      <c r="F17" s="149">
        <f>AU!R33</f>
        <v>0</v>
      </c>
      <c r="G17" s="149">
        <f>AU!U33</f>
        <v>0</v>
      </c>
      <c r="H17" s="149">
        <f>AU!X33</f>
        <v>0</v>
      </c>
      <c r="I17" s="149">
        <f>AU!AA33</f>
        <v>0</v>
      </c>
      <c r="J17" s="149">
        <f>AU!AD33</f>
        <v>0</v>
      </c>
      <c r="K17" s="149">
        <f>AU!AG33</f>
        <v>0</v>
      </c>
      <c r="L17" s="149">
        <f>AU!AJ33</f>
        <v>0</v>
      </c>
      <c r="M17" s="149">
        <f>AU!AM33</f>
        <v>0</v>
      </c>
      <c r="N17" s="150">
        <f t="shared" si="0"/>
        <v>0</v>
      </c>
      <c r="O17" s="139"/>
      <c r="Q17" s="267" t="str">
        <f>AU!C51</f>
        <v xml:space="preserve"> - </v>
      </c>
      <c r="R17" s="268" t="str">
        <f>IF(AU!F51=0,"",AU!F51)</f>
        <v/>
      </c>
      <c r="S17" s="269">
        <f>AU!L51</f>
        <v>0</v>
      </c>
      <c r="T17" s="270">
        <f>AU!O51</f>
        <v>0</v>
      </c>
      <c r="U17" s="270">
        <f>AU!R51</f>
        <v>0</v>
      </c>
      <c r="V17" s="270">
        <f>AU!U51</f>
        <v>0</v>
      </c>
      <c r="W17" s="270">
        <f>AU!X51</f>
        <v>0</v>
      </c>
      <c r="X17" s="270">
        <f>AU!AA51</f>
        <v>0</v>
      </c>
      <c r="Y17" s="270">
        <f>AU!AD51</f>
        <v>0</v>
      </c>
      <c r="Z17" s="270">
        <f>AU!AG51</f>
        <v>0</v>
      </c>
      <c r="AA17" s="270">
        <f>AU!AJ51</f>
        <v>0</v>
      </c>
      <c r="AB17" s="270">
        <f>AU!AM51</f>
        <v>0</v>
      </c>
      <c r="AC17" s="271">
        <f t="shared" si="1"/>
        <v>0</v>
      </c>
    </row>
    <row r="18" spans="2:29" hidden="1" outlineLevel="2" x14ac:dyDescent="0.2">
      <c r="B18" s="151" t="str">
        <f>AU!C34</f>
        <v xml:space="preserve"> - </v>
      </c>
      <c r="C18" s="152" t="str">
        <f>IF(AU!F34=0,"",AU!F34)</f>
        <v/>
      </c>
      <c r="D18" s="148">
        <f>AU!L34</f>
        <v>0</v>
      </c>
      <c r="E18" s="149">
        <f>AU!O34</f>
        <v>0</v>
      </c>
      <c r="F18" s="149">
        <f>AU!R34</f>
        <v>0</v>
      </c>
      <c r="G18" s="149">
        <f>AU!U34</f>
        <v>0</v>
      </c>
      <c r="H18" s="149">
        <f>AU!X34</f>
        <v>0</v>
      </c>
      <c r="I18" s="149">
        <f>AU!AA34</f>
        <v>0</v>
      </c>
      <c r="J18" s="149">
        <f>AU!AD34</f>
        <v>0</v>
      </c>
      <c r="K18" s="149">
        <f>AU!AG34</f>
        <v>0</v>
      </c>
      <c r="L18" s="149">
        <f>AU!AJ34</f>
        <v>0</v>
      </c>
      <c r="M18" s="149">
        <f>AU!AM34</f>
        <v>0</v>
      </c>
      <c r="N18" s="150">
        <f t="shared" si="0"/>
        <v>0</v>
      </c>
      <c r="O18" s="139"/>
      <c r="Q18" s="267" t="str">
        <f>AU!C52</f>
        <v xml:space="preserve"> - </v>
      </c>
      <c r="R18" s="268" t="str">
        <f>IF(AU!F52=0,"",AU!F52)</f>
        <v/>
      </c>
      <c r="S18" s="269">
        <f>AU!L52</f>
        <v>0</v>
      </c>
      <c r="T18" s="270">
        <f>AU!O52</f>
        <v>0</v>
      </c>
      <c r="U18" s="270">
        <f>AU!R52</f>
        <v>0</v>
      </c>
      <c r="V18" s="270">
        <f>AU!U52</f>
        <v>0</v>
      </c>
      <c r="W18" s="270">
        <f>AU!X52</f>
        <v>0</v>
      </c>
      <c r="X18" s="270">
        <f>AU!AA52</f>
        <v>0</v>
      </c>
      <c r="Y18" s="270">
        <f>AU!AD52</f>
        <v>0</v>
      </c>
      <c r="Z18" s="270">
        <f>AU!AG52</f>
        <v>0</v>
      </c>
      <c r="AA18" s="270">
        <f>AU!AJ52</f>
        <v>0</v>
      </c>
      <c r="AB18" s="270">
        <f>AU!AM52</f>
        <v>0</v>
      </c>
      <c r="AC18" s="271">
        <f t="shared" si="1"/>
        <v>0</v>
      </c>
    </row>
    <row r="19" spans="2:29" hidden="1" outlineLevel="2" x14ac:dyDescent="0.2">
      <c r="B19" s="151" t="str">
        <f>AU!C35</f>
        <v xml:space="preserve"> - </v>
      </c>
      <c r="C19" s="152" t="str">
        <f>IF(AU!F35=0,"",AU!F35)</f>
        <v/>
      </c>
      <c r="D19" s="148">
        <f>AU!L35</f>
        <v>0</v>
      </c>
      <c r="E19" s="149">
        <f>AU!O35</f>
        <v>0</v>
      </c>
      <c r="F19" s="149">
        <f>AU!R35</f>
        <v>0</v>
      </c>
      <c r="G19" s="149">
        <f>AU!U35</f>
        <v>0</v>
      </c>
      <c r="H19" s="149">
        <f>AU!X35</f>
        <v>0</v>
      </c>
      <c r="I19" s="149">
        <f>AU!AA35</f>
        <v>0</v>
      </c>
      <c r="J19" s="149">
        <f>AU!AD35</f>
        <v>0</v>
      </c>
      <c r="K19" s="149">
        <f>AU!AG35</f>
        <v>0</v>
      </c>
      <c r="L19" s="149">
        <f>AU!AJ35</f>
        <v>0</v>
      </c>
      <c r="M19" s="149">
        <f>AU!AM35</f>
        <v>0</v>
      </c>
      <c r="N19" s="150">
        <f t="shared" si="0"/>
        <v>0</v>
      </c>
      <c r="O19" s="139"/>
      <c r="Q19" s="267" t="str">
        <f>AU!C53</f>
        <v xml:space="preserve"> - </v>
      </c>
      <c r="R19" s="320" t="str">
        <f>IF(AU!F53=0,"",AU!F53)</f>
        <v/>
      </c>
      <c r="S19" s="321">
        <f>AU!L53</f>
        <v>0</v>
      </c>
      <c r="T19" s="322">
        <f>AU!O53</f>
        <v>0</v>
      </c>
      <c r="U19" s="322">
        <f>AU!R53</f>
        <v>0</v>
      </c>
      <c r="V19" s="322">
        <f>AU!U53</f>
        <v>0</v>
      </c>
      <c r="W19" s="322">
        <f>AU!X53</f>
        <v>0</v>
      </c>
      <c r="X19" s="322">
        <f>AU!AA53</f>
        <v>0</v>
      </c>
      <c r="Y19" s="322">
        <f>AU!AD53</f>
        <v>0</v>
      </c>
      <c r="Z19" s="322">
        <f>AU!AG53</f>
        <v>0</v>
      </c>
      <c r="AA19" s="322">
        <f>AU!AJ53</f>
        <v>0</v>
      </c>
      <c r="AB19" s="322">
        <f>AU!AM53</f>
        <v>0</v>
      </c>
      <c r="AC19" s="323">
        <f t="shared" si="1"/>
        <v>0</v>
      </c>
    </row>
    <row r="20" spans="2:29" outlineLevel="1" collapsed="1" x14ac:dyDescent="0.2">
      <c r="B20" s="529" t="str">
        <f>AU!C55&amp; " Man months"</f>
        <v>1. TAP Man months</v>
      </c>
      <c r="C20" s="530"/>
      <c r="D20" s="531"/>
      <c r="E20" s="531"/>
      <c r="F20" s="531"/>
      <c r="G20" s="531"/>
      <c r="H20" s="531"/>
      <c r="I20" s="531"/>
      <c r="J20" s="531"/>
      <c r="K20" s="531"/>
      <c r="L20" s="531"/>
      <c r="M20" s="531"/>
      <c r="N20" s="532"/>
      <c r="O20" s="139"/>
      <c r="Q20" s="326" t="str">
        <f>B20</f>
        <v>1. TAP Man months</v>
      </c>
      <c r="R20" s="327"/>
      <c r="S20" s="325"/>
      <c r="T20" s="325"/>
      <c r="U20" s="325"/>
      <c r="V20" s="325"/>
      <c r="W20" s="325"/>
      <c r="X20" s="325"/>
      <c r="Y20" s="325"/>
      <c r="Z20" s="325"/>
      <c r="AA20" s="325"/>
      <c r="AB20" s="325"/>
      <c r="AC20" s="328"/>
    </row>
    <row r="21" spans="2:29" outlineLevel="1" x14ac:dyDescent="0.2">
      <c r="B21" s="146" t="str">
        <f>AU!C56</f>
        <v>AC staff et al.</v>
      </c>
      <c r="C21" s="161" t="str">
        <f>IF(AU!F56=0,"",AU!F56)</f>
        <v/>
      </c>
      <c r="D21" s="148">
        <f>AU!L56</f>
        <v>0</v>
      </c>
      <c r="E21" s="149">
        <f>AU!O56</f>
        <v>0</v>
      </c>
      <c r="F21" s="149">
        <f>AU!R56</f>
        <v>0</v>
      </c>
      <c r="G21" s="149">
        <f>AU!U56</f>
        <v>0</v>
      </c>
      <c r="H21" s="149">
        <f>AU!X56</f>
        <v>0</v>
      </c>
      <c r="I21" s="149">
        <f>AU!AA56</f>
        <v>0</v>
      </c>
      <c r="J21" s="149">
        <f>AU!AD56</f>
        <v>0</v>
      </c>
      <c r="K21" s="149">
        <f>AU!AG56</f>
        <v>0</v>
      </c>
      <c r="L21" s="149">
        <f>AU!AJ56</f>
        <v>0</v>
      </c>
      <c r="M21" s="149">
        <f>AU!AM56</f>
        <v>0</v>
      </c>
      <c r="N21" s="155">
        <f t="shared" ref="N21:N36" si="2">SUM(D21:M21)</f>
        <v>0</v>
      </c>
      <c r="O21" s="139"/>
      <c r="Q21" s="261" t="str">
        <f>AU!C74</f>
        <v xml:space="preserve"> - </v>
      </c>
      <c r="R21" s="262" t="str">
        <f>IF(AU!F74=0,"",AU!F74)</f>
        <v/>
      </c>
      <c r="S21" s="263">
        <f>AU!L74</f>
        <v>0</v>
      </c>
      <c r="T21" s="264">
        <f>AU!O74</f>
        <v>0</v>
      </c>
      <c r="U21" s="265">
        <f>AU!R74</f>
        <v>0</v>
      </c>
      <c r="V21" s="264">
        <f>AU!U74</f>
        <v>0</v>
      </c>
      <c r="W21" s="264">
        <f>AU!X74</f>
        <v>0</v>
      </c>
      <c r="X21" s="264">
        <f>AU!AA74</f>
        <v>0</v>
      </c>
      <c r="Y21" s="264">
        <f>AU!AD74</f>
        <v>0</v>
      </c>
      <c r="Z21" s="264">
        <f>AU!AG74</f>
        <v>0</v>
      </c>
      <c r="AA21" s="264">
        <f>AU!AJ74</f>
        <v>0</v>
      </c>
      <c r="AB21" s="264">
        <f>AU!AM74</f>
        <v>0</v>
      </c>
      <c r="AC21" s="266">
        <f>SUM(S21:AB21)</f>
        <v>0</v>
      </c>
    </row>
    <row r="22" spans="2:29" outlineLevel="1" x14ac:dyDescent="0.2">
      <c r="B22" s="151" t="str">
        <f>AU!C57</f>
        <v xml:space="preserve"> - </v>
      </c>
      <c r="C22" s="162" t="str">
        <f>IF(AU!F57=0,"",AU!F57)</f>
        <v/>
      </c>
      <c r="D22" s="148">
        <f>AU!L57</f>
        <v>0</v>
      </c>
      <c r="E22" s="149">
        <f>AU!O57</f>
        <v>0</v>
      </c>
      <c r="F22" s="149">
        <f>AU!R57</f>
        <v>0</v>
      </c>
      <c r="G22" s="149">
        <f>AU!U57</f>
        <v>0</v>
      </c>
      <c r="H22" s="149">
        <f>AU!X57</f>
        <v>0</v>
      </c>
      <c r="I22" s="149">
        <f>AU!AA57</f>
        <v>0</v>
      </c>
      <c r="J22" s="149">
        <f>AU!AD57</f>
        <v>0</v>
      </c>
      <c r="K22" s="149">
        <f>AU!AG57</f>
        <v>0</v>
      </c>
      <c r="L22" s="149">
        <f>AU!AJ57</f>
        <v>0</v>
      </c>
      <c r="M22" s="149">
        <f>AU!AM57</f>
        <v>0</v>
      </c>
      <c r="N22" s="155">
        <f t="shared" si="2"/>
        <v>0</v>
      </c>
      <c r="O22" s="139"/>
      <c r="Q22" s="267" t="str">
        <f>AU!C75</f>
        <v xml:space="preserve"> - </v>
      </c>
      <c r="R22" s="268" t="str">
        <f>IF(AU!F75=0,"",AU!F75)</f>
        <v/>
      </c>
      <c r="S22" s="269">
        <f>AU!L75</f>
        <v>0</v>
      </c>
      <c r="T22" s="270">
        <f>AU!O75</f>
        <v>0</v>
      </c>
      <c r="U22" s="270">
        <f>AU!R75</f>
        <v>0</v>
      </c>
      <c r="V22" s="270">
        <f>AU!U75</f>
        <v>0</v>
      </c>
      <c r="W22" s="270">
        <f>AU!X75</f>
        <v>0</v>
      </c>
      <c r="X22" s="270">
        <f>AU!AA75</f>
        <v>0</v>
      </c>
      <c r="Y22" s="270">
        <f>AU!AD75</f>
        <v>0</v>
      </c>
      <c r="Z22" s="270">
        <f>AU!AG75</f>
        <v>0</v>
      </c>
      <c r="AA22" s="270">
        <f>AU!AJ75</f>
        <v>0</v>
      </c>
      <c r="AB22" s="270">
        <f>AU!AM75</f>
        <v>0</v>
      </c>
      <c r="AC22" s="271">
        <f t="shared" ref="AC22:AC36" si="3">SUM(S22:AB22)</f>
        <v>0</v>
      </c>
    </row>
    <row r="23" spans="2:29" outlineLevel="1" x14ac:dyDescent="0.2">
      <c r="B23" s="151" t="str">
        <f>AU!C58</f>
        <v xml:space="preserve"> - </v>
      </c>
      <c r="C23" s="162" t="str">
        <f>IF(AU!F58=0,"",AU!F58)</f>
        <v/>
      </c>
      <c r="D23" s="148">
        <f>AU!L58</f>
        <v>0</v>
      </c>
      <c r="E23" s="149">
        <f>AU!O58</f>
        <v>0</v>
      </c>
      <c r="F23" s="149">
        <f>AU!R58</f>
        <v>0</v>
      </c>
      <c r="G23" s="149">
        <f>AU!U58</f>
        <v>0</v>
      </c>
      <c r="H23" s="149">
        <f>AU!X58</f>
        <v>0</v>
      </c>
      <c r="I23" s="149">
        <f>AU!AA58</f>
        <v>0</v>
      </c>
      <c r="J23" s="149">
        <f>AU!AD58</f>
        <v>0</v>
      </c>
      <c r="K23" s="149">
        <f>AU!AG58</f>
        <v>0</v>
      </c>
      <c r="L23" s="149">
        <f>AU!AJ58</f>
        <v>0</v>
      </c>
      <c r="M23" s="149">
        <f>AU!AM58</f>
        <v>0</v>
      </c>
      <c r="N23" s="155">
        <f t="shared" si="2"/>
        <v>0</v>
      </c>
      <c r="O23" s="139"/>
      <c r="Q23" s="267" t="str">
        <f>AU!C76</f>
        <v xml:space="preserve"> - </v>
      </c>
      <c r="R23" s="268" t="str">
        <f>IF(AU!F76=0,"",AU!F76)</f>
        <v/>
      </c>
      <c r="S23" s="269">
        <f>AU!L76</f>
        <v>0</v>
      </c>
      <c r="T23" s="270">
        <f>AU!O76</f>
        <v>0</v>
      </c>
      <c r="U23" s="270">
        <f>AU!R76</f>
        <v>0</v>
      </c>
      <c r="V23" s="270">
        <f>AU!U76</f>
        <v>0</v>
      </c>
      <c r="W23" s="270">
        <f>AU!X76</f>
        <v>0</v>
      </c>
      <c r="X23" s="270">
        <f>AU!AA76</f>
        <v>0</v>
      </c>
      <c r="Y23" s="270">
        <f>AU!AD76</f>
        <v>0</v>
      </c>
      <c r="Z23" s="270">
        <f>AU!AG76</f>
        <v>0</v>
      </c>
      <c r="AA23" s="270">
        <f>AU!AJ76</f>
        <v>0</v>
      </c>
      <c r="AB23" s="270">
        <f>AU!AM76</f>
        <v>0</v>
      </c>
      <c r="AC23" s="271">
        <f t="shared" si="3"/>
        <v>0</v>
      </c>
    </row>
    <row r="24" spans="2:29" outlineLevel="1" x14ac:dyDescent="0.2">
      <c r="B24" s="151" t="str">
        <f>AU!C59</f>
        <v xml:space="preserve"> - </v>
      </c>
      <c r="C24" s="162" t="str">
        <f>IF(AU!F59=0,"",AU!F59)</f>
        <v/>
      </c>
      <c r="D24" s="148">
        <f>AU!L59</f>
        <v>0</v>
      </c>
      <c r="E24" s="149">
        <f>AU!O59</f>
        <v>0</v>
      </c>
      <c r="F24" s="149">
        <f>AU!R59</f>
        <v>0</v>
      </c>
      <c r="G24" s="149">
        <f>AU!U59</f>
        <v>0</v>
      </c>
      <c r="H24" s="149">
        <f>AU!X59</f>
        <v>0</v>
      </c>
      <c r="I24" s="149">
        <f>AU!AA59</f>
        <v>0</v>
      </c>
      <c r="J24" s="149">
        <f>AU!AD59</f>
        <v>0</v>
      </c>
      <c r="K24" s="149">
        <f>AU!AG59</f>
        <v>0</v>
      </c>
      <c r="L24" s="149">
        <f>AU!AJ59</f>
        <v>0</v>
      </c>
      <c r="M24" s="149">
        <f>AU!AM59</f>
        <v>0</v>
      </c>
      <c r="N24" s="155">
        <f t="shared" si="2"/>
        <v>0</v>
      </c>
      <c r="O24" s="139"/>
      <c r="Q24" s="267" t="str">
        <f>AU!C77</f>
        <v xml:space="preserve"> - </v>
      </c>
      <c r="R24" s="268" t="str">
        <f>IF(AU!F77=0,"",AU!F77)</f>
        <v/>
      </c>
      <c r="S24" s="269">
        <f>AU!L77</f>
        <v>0</v>
      </c>
      <c r="T24" s="270">
        <f>AU!O77</f>
        <v>0</v>
      </c>
      <c r="U24" s="270">
        <f>AU!R77</f>
        <v>0</v>
      </c>
      <c r="V24" s="270">
        <f>AU!U77</f>
        <v>0</v>
      </c>
      <c r="W24" s="270">
        <f>AU!X77</f>
        <v>0</v>
      </c>
      <c r="X24" s="270">
        <f>AU!AA77</f>
        <v>0</v>
      </c>
      <c r="Y24" s="270">
        <f>AU!AD77</f>
        <v>0</v>
      </c>
      <c r="Z24" s="270">
        <f>AU!AG77</f>
        <v>0</v>
      </c>
      <c r="AA24" s="270">
        <f>AU!AJ77</f>
        <v>0</v>
      </c>
      <c r="AB24" s="270">
        <f>AU!AM77</f>
        <v>0</v>
      </c>
      <c r="AC24" s="271">
        <f t="shared" si="3"/>
        <v>0</v>
      </c>
    </row>
    <row r="25" spans="2:29" ht="16" outlineLevel="1" thickBot="1" x14ac:dyDescent="0.25">
      <c r="B25" s="151" t="str">
        <f>AU!C60</f>
        <v xml:space="preserve"> - </v>
      </c>
      <c r="C25" s="162" t="str">
        <f>IF(AU!F60=0,"",AU!F60)</f>
        <v/>
      </c>
      <c r="D25" s="153">
        <f>AU!L60</f>
        <v>0</v>
      </c>
      <c r="E25" s="154">
        <f>AU!O60</f>
        <v>0</v>
      </c>
      <c r="F25" s="154">
        <f>AU!R60</f>
        <v>0</v>
      </c>
      <c r="G25" s="154">
        <f>AU!U60</f>
        <v>0</v>
      </c>
      <c r="H25" s="154">
        <f>AU!X60</f>
        <v>0</v>
      </c>
      <c r="I25" s="154">
        <f>AU!AA60</f>
        <v>0</v>
      </c>
      <c r="J25" s="154">
        <f>AU!AD60</f>
        <v>0</v>
      </c>
      <c r="K25" s="154">
        <f>AU!AG60</f>
        <v>0</v>
      </c>
      <c r="L25" s="154">
        <f>AU!AJ60</f>
        <v>0</v>
      </c>
      <c r="M25" s="163">
        <f>AU!AM60</f>
        <v>0</v>
      </c>
      <c r="N25" s="155">
        <f t="shared" si="2"/>
        <v>0</v>
      </c>
      <c r="O25" s="139"/>
      <c r="Q25" s="267" t="str">
        <f>AU!C78</f>
        <v xml:space="preserve"> - </v>
      </c>
      <c r="R25" s="268" t="str">
        <f>IF(AU!F78=0,"",AU!F78)</f>
        <v/>
      </c>
      <c r="S25" s="269">
        <f>AU!L78</f>
        <v>0</v>
      </c>
      <c r="T25" s="270">
        <f>AU!O78</f>
        <v>0</v>
      </c>
      <c r="U25" s="270">
        <f>AU!R78</f>
        <v>0</v>
      </c>
      <c r="V25" s="270">
        <f>AU!U78</f>
        <v>0</v>
      </c>
      <c r="W25" s="270">
        <f>AU!X78</f>
        <v>0</v>
      </c>
      <c r="X25" s="270">
        <f>AU!AA78</f>
        <v>0</v>
      </c>
      <c r="Y25" s="270">
        <f>AU!AD78</f>
        <v>0</v>
      </c>
      <c r="Z25" s="270">
        <f>AU!AG78</f>
        <v>0</v>
      </c>
      <c r="AA25" s="270">
        <f>AU!AJ78</f>
        <v>0</v>
      </c>
      <c r="AB25" s="270">
        <f>AU!AM78</f>
        <v>0</v>
      </c>
      <c r="AC25" s="271">
        <f t="shared" si="3"/>
        <v>0</v>
      </c>
    </row>
    <row r="26" spans="2:29" hidden="1" outlineLevel="2" x14ac:dyDescent="0.2">
      <c r="B26" s="151" t="str">
        <f>AU!C61</f>
        <v xml:space="preserve"> - </v>
      </c>
      <c r="C26" s="162" t="str">
        <f>IF(AU!F61=0,"",AU!F61)</f>
        <v/>
      </c>
      <c r="D26" s="148">
        <f>AU!L61</f>
        <v>0</v>
      </c>
      <c r="E26" s="149">
        <f>AU!O61</f>
        <v>0</v>
      </c>
      <c r="F26" s="149">
        <f>AU!R61</f>
        <v>0</v>
      </c>
      <c r="G26" s="149">
        <f>AU!U61</f>
        <v>0</v>
      </c>
      <c r="H26" s="149">
        <f>AU!X61</f>
        <v>0</v>
      </c>
      <c r="I26" s="149">
        <f>AU!AA61</f>
        <v>0</v>
      </c>
      <c r="J26" s="149">
        <f>AU!AD61</f>
        <v>0</v>
      </c>
      <c r="K26" s="149">
        <f>AU!AG61</f>
        <v>0</v>
      </c>
      <c r="L26" s="149">
        <f>AU!AJ61</f>
        <v>0</v>
      </c>
      <c r="M26" s="149">
        <f>AU!AM61</f>
        <v>0</v>
      </c>
      <c r="N26" s="155">
        <f t="shared" si="2"/>
        <v>0</v>
      </c>
      <c r="O26" s="139"/>
      <c r="Q26" s="267" t="str">
        <f>AU!C79</f>
        <v xml:space="preserve"> - </v>
      </c>
      <c r="R26" s="268" t="str">
        <f>IF(AU!F79=0,"",AU!F79)</f>
        <v/>
      </c>
      <c r="S26" s="269">
        <f>AU!L79</f>
        <v>0</v>
      </c>
      <c r="T26" s="270">
        <f>AU!O79</f>
        <v>0</v>
      </c>
      <c r="U26" s="270">
        <f>AU!R79</f>
        <v>0</v>
      </c>
      <c r="V26" s="270">
        <f>AU!U79</f>
        <v>0</v>
      </c>
      <c r="W26" s="270">
        <f>AU!X79</f>
        <v>0</v>
      </c>
      <c r="X26" s="270">
        <f>AU!AA79</f>
        <v>0</v>
      </c>
      <c r="Y26" s="270">
        <f>AU!AD79</f>
        <v>0</v>
      </c>
      <c r="Z26" s="270">
        <f>AU!AG79</f>
        <v>0</v>
      </c>
      <c r="AA26" s="270">
        <f>AU!AJ79</f>
        <v>0</v>
      </c>
      <c r="AB26" s="270">
        <f>AU!AM79</f>
        <v>0</v>
      </c>
      <c r="AC26" s="271">
        <f t="shared" si="3"/>
        <v>0</v>
      </c>
    </row>
    <row r="27" spans="2:29" hidden="1" outlineLevel="2" x14ac:dyDescent="0.2">
      <c r="B27" s="151" t="str">
        <f>AU!C62</f>
        <v xml:space="preserve"> - </v>
      </c>
      <c r="C27" s="162" t="str">
        <f>IF(AU!F62=0,"",AU!F62)</f>
        <v/>
      </c>
      <c r="D27" s="148">
        <f>AU!L62</f>
        <v>0</v>
      </c>
      <c r="E27" s="149">
        <f>AU!O62</f>
        <v>0</v>
      </c>
      <c r="F27" s="149">
        <f>AU!R62</f>
        <v>0</v>
      </c>
      <c r="G27" s="149">
        <f>AU!U62</f>
        <v>0</v>
      </c>
      <c r="H27" s="149">
        <f>AU!X62</f>
        <v>0</v>
      </c>
      <c r="I27" s="149">
        <f>AU!AA62</f>
        <v>0</v>
      </c>
      <c r="J27" s="149">
        <f>AU!AD62</f>
        <v>0</v>
      </c>
      <c r="K27" s="149">
        <f>AU!AG62</f>
        <v>0</v>
      </c>
      <c r="L27" s="149">
        <f>AU!AJ62</f>
        <v>0</v>
      </c>
      <c r="M27" s="149">
        <f>AU!AM62</f>
        <v>0</v>
      </c>
      <c r="N27" s="155">
        <f t="shared" si="2"/>
        <v>0</v>
      </c>
      <c r="O27" s="139"/>
      <c r="Q27" s="267" t="str">
        <f>AU!C80</f>
        <v xml:space="preserve"> - </v>
      </c>
      <c r="R27" s="268" t="str">
        <f>IF(AU!F80=0,"",AU!F80)</f>
        <v/>
      </c>
      <c r="S27" s="269">
        <f>AU!L80</f>
        <v>0</v>
      </c>
      <c r="T27" s="270">
        <f>AU!O80</f>
        <v>0</v>
      </c>
      <c r="U27" s="270">
        <f>AU!R80</f>
        <v>0</v>
      </c>
      <c r="V27" s="270">
        <f>AU!U80</f>
        <v>0</v>
      </c>
      <c r="W27" s="270">
        <f>AU!X80</f>
        <v>0</v>
      </c>
      <c r="X27" s="270">
        <f>AU!AA80</f>
        <v>0</v>
      </c>
      <c r="Y27" s="270">
        <f>AU!AD80</f>
        <v>0</v>
      </c>
      <c r="Z27" s="270">
        <f>AU!AG80</f>
        <v>0</v>
      </c>
      <c r="AA27" s="270">
        <f>AU!AJ80</f>
        <v>0</v>
      </c>
      <c r="AB27" s="270">
        <f>AU!AM80</f>
        <v>0</v>
      </c>
      <c r="AC27" s="271">
        <f t="shared" si="3"/>
        <v>0</v>
      </c>
    </row>
    <row r="28" spans="2:29" hidden="1" outlineLevel="2" x14ac:dyDescent="0.2">
      <c r="B28" s="151" t="str">
        <f>AU!C63</f>
        <v xml:space="preserve"> - </v>
      </c>
      <c r="C28" s="162" t="str">
        <f>IF(AU!F63=0,"",AU!F63)</f>
        <v/>
      </c>
      <c r="D28" s="148">
        <f>AU!L63</f>
        <v>0</v>
      </c>
      <c r="E28" s="149">
        <f>AU!O63</f>
        <v>0</v>
      </c>
      <c r="F28" s="149">
        <f>AU!R63</f>
        <v>0</v>
      </c>
      <c r="G28" s="149">
        <f>AU!U63</f>
        <v>0</v>
      </c>
      <c r="H28" s="149">
        <f>AU!X63</f>
        <v>0</v>
      </c>
      <c r="I28" s="149">
        <f>AU!AA63</f>
        <v>0</v>
      </c>
      <c r="J28" s="149">
        <f>AU!AD63</f>
        <v>0</v>
      </c>
      <c r="K28" s="149">
        <f>AU!AG63</f>
        <v>0</v>
      </c>
      <c r="L28" s="149">
        <f>AU!AJ63</f>
        <v>0</v>
      </c>
      <c r="M28" s="149">
        <f>AU!AM63</f>
        <v>0</v>
      </c>
      <c r="N28" s="155">
        <f t="shared" si="2"/>
        <v>0</v>
      </c>
      <c r="O28" s="139"/>
      <c r="Q28" s="267" t="str">
        <f>AU!C81</f>
        <v xml:space="preserve"> - </v>
      </c>
      <c r="R28" s="268" t="str">
        <f>IF(AU!F81=0,"",AU!F81)</f>
        <v/>
      </c>
      <c r="S28" s="269">
        <f>AU!L81</f>
        <v>0</v>
      </c>
      <c r="T28" s="270">
        <f>AU!O81</f>
        <v>0</v>
      </c>
      <c r="U28" s="270">
        <f>AU!R81</f>
        <v>0</v>
      </c>
      <c r="V28" s="270">
        <f>AU!U81</f>
        <v>0</v>
      </c>
      <c r="W28" s="270">
        <f>AU!X81</f>
        <v>0</v>
      </c>
      <c r="X28" s="270">
        <f>AU!AA81</f>
        <v>0</v>
      </c>
      <c r="Y28" s="270">
        <f>AU!AD81</f>
        <v>0</v>
      </c>
      <c r="Z28" s="270">
        <f>AU!AG81</f>
        <v>0</v>
      </c>
      <c r="AA28" s="270">
        <f>AU!AJ81</f>
        <v>0</v>
      </c>
      <c r="AB28" s="270">
        <f>AU!AM81</f>
        <v>0</v>
      </c>
      <c r="AC28" s="271">
        <f t="shared" si="3"/>
        <v>0</v>
      </c>
    </row>
    <row r="29" spans="2:29" hidden="1" outlineLevel="2" x14ac:dyDescent="0.2">
      <c r="B29" s="151" t="str">
        <f>AU!C64</f>
        <v xml:space="preserve"> - </v>
      </c>
      <c r="C29" s="162" t="str">
        <f>IF(AU!F64=0,"",AU!F64)</f>
        <v/>
      </c>
      <c r="D29" s="148">
        <f>AU!L64</f>
        <v>0</v>
      </c>
      <c r="E29" s="149">
        <f>AU!O64</f>
        <v>0</v>
      </c>
      <c r="F29" s="149">
        <f>AU!R64</f>
        <v>0</v>
      </c>
      <c r="G29" s="149">
        <f>AU!U64</f>
        <v>0</v>
      </c>
      <c r="H29" s="149">
        <f>AU!X64</f>
        <v>0</v>
      </c>
      <c r="I29" s="149">
        <f>AU!AA64</f>
        <v>0</v>
      </c>
      <c r="J29" s="149">
        <f>AU!AD64</f>
        <v>0</v>
      </c>
      <c r="K29" s="149">
        <f>AU!AG64</f>
        <v>0</v>
      </c>
      <c r="L29" s="149">
        <f>AU!AJ64</f>
        <v>0</v>
      </c>
      <c r="M29" s="149">
        <f>AU!AM64</f>
        <v>0</v>
      </c>
      <c r="N29" s="155">
        <f t="shared" si="2"/>
        <v>0</v>
      </c>
      <c r="O29" s="139"/>
      <c r="Q29" s="267" t="str">
        <f>AU!C82</f>
        <v xml:space="preserve"> - </v>
      </c>
      <c r="R29" s="268" t="str">
        <f>IF(AU!F82=0,"",AU!F82)</f>
        <v/>
      </c>
      <c r="S29" s="269">
        <f>AU!L82</f>
        <v>0</v>
      </c>
      <c r="T29" s="270">
        <f>AU!O82</f>
        <v>0</v>
      </c>
      <c r="U29" s="270">
        <f>AU!R82</f>
        <v>0</v>
      </c>
      <c r="V29" s="270">
        <f>AU!U82</f>
        <v>0</v>
      </c>
      <c r="W29" s="270">
        <f>AU!X82</f>
        <v>0</v>
      </c>
      <c r="X29" s="270">
        <f>AU!AA82</f>
        <v>0</v>
      </c>
      <c r="Y29" s="270">
        <f>AU!AD82</f>
        <v>0</v>
      </c>
      <c r="Z29" s="270">
        <f>AU!AG82</f>
        <v>0</v>
      </c>
      <c r="AA29" s="270">
        <f>AU!AJ82</f>
        <v>0</v>
      </c>
      <c r="AB29" s="270">
        <f>AU!AM82</f>
        <v>0</v>
      </c>
      <c r="AC29" s="271">
        <f t="shared" si="3"/>
        <v>0</v>
      </c>
    </row>
    <row r="30" spans="2:29" hidden="1" outlineLevel="2" x14ac:dyDescent="0.2">
      <c r="B30" s="151" t="str">
        <f>AU!C65</f>
        <v xml:space="preserve"> - </v>
      </c>
      <c r="C30" s="162" t="str">
        <f>IF(AU!F65=0,"",AU!F65)</f>
        <v/>
      </c>
      <c r="D30" s="148">
        <f>AU!L65</f>
        <v>0</v>
      </c>
      <c r="E30" s="149">
        <f>AU!O65</f>
        <v>0</v>
      </c>
      <c r="F30" s="149">
        <f>AU!R65</f>
        <v>0</v>
      </c>
      <c r="G30" s="149">
        <f>AU!U65</f>
        <v>0</v>
      </c>
      <c r="H30" s="149">
        <f>AU!X65</f>
        <v>0</v>
      </c>
      <c r="I30" s="149">
        <f>AU!AA65</f>
        <v>0</v>
      </c>
      <c r="J30" s="149">
        <f>AU!AD65</f>
        <v>0</v>
      </c>
      <c r="K30" s="149">
        <f>AU!AG65</f>
        <v>0</v>
      </c>
      <c r="L30" s="149">
        <f>AU!AJ65</f>
        <v>0</v>
      </c>
      <c r="M30" s="149">
        <f>AU!AM65</f>
        <v>0</v>
      </c>
      <c r="N30" s="155">
        <f t="shared" si="2"/>
        <v>0</v>
      </c>
      <c r="O30" s="139"/>
      <c r="Q30" s="267" t="str">
        <f>AU!C83</f>
        <v xml:space="preserve"> - </v>
      </c>
      <c r="R30" s="268" t="str">
        <f>IF(AU!F83=0,"",AU!F83)</f>
        <v/>
      </c>
      <c r="S30" s="269">
        <f>AU!L83</f>
        <v>0</v>
      </c>
      <c r="T30" s="270">
        <f>AU!O83</f>
        <v>0</v>
      </c>
      <c r="U30" s="270">
        <f>AU!R83</f>
        <v>0</v>
      </c>
      <c r="V30" s="270">
        <f>AU!U83</f>
        <v>0</v>
      </c>
      <c r="W30" s="270">
        <f>AU!X83</f>
        <v>0</v>
      </c>
      <c r="X30" s="270">
        <f>AU!AA83</f>
        <v>0</v>
      </c>
      <c r="Y30" s="270">
        <f>AU!AD83</f>
        <v>0</v>
      </c>
      <c r="Z30" s="270">
        <f>AU!AG83</f>
        <v>0</v>
      </c>
      <c r="AA30" s="270">
        <f>AU!AJ83</f>
        <v>0</v>
      </c>
      <c r="AB30" s="270">
        <f>AU!AM83</f>
        <v>0</v>
      </c>
      <c r="AC30" s="271">
        <f t="shared" si="3"/>
        <v>0</v>
      </c>
    </row>
    <row r="31" spans="2:29" hidden="1" outlineLevel="2" x14ac:dyDescent="0.2">
      <c r="B31" s="151" t="str">
        <f>AU!C66</f>
        <v xml:space="preserve"> - </v>
      </c>
      <c r="C31" s="162" t="str">
        <f>IF(AU!F66=0,"",AU!F66)</f>
        <v/>
      </c>
      <c r="D31" s="148">
        <f>AU!L66</f>
        <v>0</v>
      </c>
      <c r="E31" s="149">
        <f>AU!O66</f>
        <v>0</v>
      </c>
      <c r="F31" s="149">
        <f>AU!R66</f>
        <v>0</v>
      </c>
      <c r="G31" s="149">
        <f>AU!U66</f>
        <v>0</v>
      </c>
      <c r="H31" s="149">
        <f>AU!X66</f>
        <v>0</v>
      </c>
      <c r="I31" s="149">
        <f>AU!AA66</f>
        <v>0</v>
      </c>
      <c r="J31" s="149">
        <f>AU!AD66</f>
        <v>0</v>
      </c>
      <c r="K31" s="149">
        <f>AU!AG66</f>
        <v>0</v>
      </c>
      <c r="L31" s="149">
        <f>AU!AJ66</f>
        <v>0</v>
      </c>
      <c r="M31" s="149">
        <f>AU!AM66</f>
        <v>0</v>
      </c>
      <c r="N31" s="155">
        <f t="shared" si="2"/>
        <v>0</v>
      </c>
      <c r="O31" s="139"/>
      <c r="Q31" s="267" t="str">
        <f>AU!C84</f>
        <v xml:space="preserve"> - </v>
      </c>
      <c r="R31" s="268" t="str">
        <f>IF(AU!F84=0,"",AU!F84)</f>
        <v/>
      </c>
      <c r="S31" s="269">
        <f>AU!L84</f>
        <v>0</v>
      </c>
      <c r="T31" s="270">
        <f>AU!O84</f>
        <v>0</v>
      </c>
      <c r="U31" s="270">
        <f>AU!R84</f>
        <v>0</v>
      </c>
      <c r="V31" s="270">
        <f>AU!U84</f>
        <v>0</v>
      </c>
      <c r="W31" s="270">
        <f>AU!X84</f>
        <v>0</v>
      </c>
      <c r="X31" s="270">
        <f>AU!AA84</f>
        <v>0</v>
      </c>
      <c r="Y31" s="270">
        <f>AU!AD84</f>
        <v>0</v>
      </c>
      <c r="Z31" s="270">
        <f>AU!AG84</f>
        <v>0</v>
      </c>
      <c r="AA31" s="270">
        <f>AU!AJ84</f>
        <v>0</v>
      </c>
      <c r="AB31" s="270">
        <f>AU!AM84</f>
        <v>0</v>
      </c>
      <c r="AC31" s="271">
        <f t="shared" si="3"/>
        <v>0</v>
      </c>
    </row>
    <row r="32" spans="2:29" hidden="1" outlineLevel="2" x14ac:dyDescent="0.2">
      <c r="B32" s="151" t="str">
        <f>AU!C67</f>
        <v xml:space="preserve"> - </v>
      </c>
      <c r="C32" s="162" t="str">
        <f>IF(AU!F67=0,"",AU!F67)</f>
        <v/>
      </c>
      <c r="D32" s="148">
        <f>AU!L67</f>
        <v>0</v>
      </c>
      <c r="E32" s="149">
        <f>AU!O67</f>
        <v>0</v>
      </c>
      <c r="F32" s="149">
        <f>AU!R67</f>
        <v>0</v>
      </c>
      <c r="G32" s="149">
        <f>AU!U67</f>
        <v>0</v>
      </c>
      <c r="H32" s="149">
        <f>AU!X67</f>
        <v>0</v>
      </c>
      <c r="I32" s="149">
        <f>AU!AA67</f>
        <v>0</v>
      </c>
      <c r="J32" s="149">
        <f>AU!AD67</f>
        <v>0</v>
      </c>
      <c r="K32" s="149">
        <f>AU!AG67</f>
        <v>0</v>
      </c>
      <c r="L32" s="149">
        <f>AU!AJ67</f>
        <v>0</v>
      </c>
      <c r="M32" s="149">
        <f>AU!AM67</f>
        <v>0</v>
      </c>
      <c r="N32" s="155">
        <f t="shared" si="2"/>
        <v>0</v>
      </c>
      <c r="O32" s="139"/>
      <c r="Q32" s="267" t="str">
        <f>AU!C85</f>
        <v xml:space="preserve"> - </v>
      </c>
      <c r="R32" s="268" t="str">
        <f>IF(AU!F85=0,"",AU!F85)</f>
        <v/>
      </c>
      <c r="S32" s="269">
        <f>AU!L85</f>
        <v>0</v>
      </c>
      <c r="T32" s="270">
        <f>AU!O85</f>
        <v>0</v>
      </c>
      <c r="U32" s="270">
        <f>AU!R85</f>
        <v>0</v>
      </c>
      <c r="V32" s="270">
        <f>AU!U85</f>
        <v>0</v>
      </c>
      <c r="W32" s="270">
        <f>AU!X85</f>
        <v>0</v>
      </c>
      <c r="X32" s="270">
        <f>AU!AA85</f>
        <v>0</v>
      </c>
      <c r="Y32" s="270">
        <f>AU!AD85</f>
        <v>0</v>
      </c>
      <c r="Z32" s="270">
        <f>AU!AG85</f>
        <v>0</v>
      </c>
      <c r="AA32" s="270">
        <f>AU!AJ85</f>
        <v>0</v>
      </c>
      <c r="AB32" s="270">
        <f>AU!AM85</f>
        <v>0</v>
      </c>
      <c r="AC32" s="271">
        <f t="shared" si="3"/>
        <v>0</v>
      </c>
    </row>
    <row r="33" spans="2:29" hidden="1" outlineLevel="2" x14ac:dyDescent="0.2">
      <c r="B33" s="151" t="str">
        <f>AU!C68</f>
        <v xml:space="preserve"> - </v>
      </c>
      <c r="C33" s="162" t="str">
        <f>IF(AU!F68=0,"",AU!F68)</f>
        <v/>
      </c>
      <c r="D33" s="148">
        <f>AU!L68</f>
        <v>0</v>
      </c>
      <c r="E33" s="149">
        <f>AU!O68</f>
        <v>0</v>
      </c>
      <c r="F33" s="149">
        <f>AU!R68</f>
        <v>0</v>
      </c>
      <c r="G33" s="149">
        <f>AU!U68</f>
        <v>0</v>
      </c>
      <c r="H33" s="149">
        <f>AU!X68</f>
        <v>0</v>
      </c>
      <c r="I33" s="149">
        <f>AU!AA68</f>
        <v>0</v>
      </c>
      <c r="J33" s="149">
        <f>AU!AD68</f>
        <v>0</v>
      </c>
      <c r="K33" s="149">
        <f>AU!AG68</f>
        <v>0</v>
      </c>
      <c r="L33" s="149">
        <f>AU!AJ68</f>
        <v>0</v>
      </c>
      <c r="M33" s="149">
        <f>AU!AM68</f>
        <v>0</v>
      </c>
      <c r="N33" s="155">
        <f t="shared" si="2"/>
        <v>0</v>
      </c>
      <c r="O33" s="139"/>
      <c r="Q33" s="267" t="str">
        <f>AU!C86</f>
        <v xml:space="preserve"> - </v>
      </c>
      <c r="R33" s="268" t="str">
        <f>IF(AU!F86=0,"",AU!F86)</f>
        <v/>
      </c>
      <c r="S33" s="269">
        <f>AU!L86</f>
        <v>0</v>
      </c>
      <c r="T33" s="270">
        <f>AU!O86</f>
        <v>0</v>
      </c>
      <c r="U33" s="270">
        <f>AU!R86</f>
        <v>0</v>
      </c>
      <c r="V33" s="270">
        <f>AU!U86</f>
        <v>0</v>
      </c>
      <c r="W33" s="270">
        <f>AU!X86</f>
        <v>0</v>
      </c>
      <c r="X33" s="270">
        <f>AU!AA86</f>
        <v>0</v>
      </c>
      <c r="Y33" s="270">
        <f>AU!AD86</f>
        <v>0</v>
      </c>
      <c r="Z33" s="270">
        <f>AU!AG86</f>
        <v>0</v>
      </c>
      <c r="AA33" s="270">
        <f>AU!AJ86</f>
        <v>0</v>
      </c>
      <c r="AB33" s="270">
        <f>AU!AM86</f>
        <v>0</v>
      </c>
      <c r="AC33" s="271">
        <f t="shared" si="3"/>
        <v>0</v>
      </c>
    </row>
    <row r="34" spans="2:29" hidden="1" outlineLevel="2" x14ac:dyDescent="0.2">
      <c r="B34" s="151" t="str">
        <f>AU!C69</f>
        <v xml:space="preserve"> - </v>
      </c>
      <c r="C34" s="162" t="str">
        <f>IF(AU!F69=0,"",AU!F69)</f>
        <v/>
      </c>
      <c r="D34" s="148">
        <f>AU!L69</f>
        <v>0</v>
      </c>
      <c r="E34" s="149">
        <f>AU!O69</f>
        <v>0</v>
      </c>
      <c r="F34" s="149">
        <f>AU!R69</f>
        <v>0</v>
      </c>
      <c r="G34" s="149">
        <f>AU!U69</f>
        <v>0</v>
      </c>
      <c r="H34" s="149">
        <f>AU!X69</f>
        <v>0</v>
      </c>
      <c r="I34" s="149">
        <f>AU!AA69</f>
        <v>0</v>
      </c>
      <c r="J34" s="149">
        <f>AU!AD69</f>
        <v>0</v>
      </c>
      <c r="K34" s="149">
        <f>AU!AG69</f>
        <v>0</v>
      </c>
      <c r="L34" s="149">
        <f>AU!AJ69</f>
        <v>0</v>
      </c>
      <c r="M34" s="149">
        <f>AU!AM69</f>
        <v>0</v>
      </c>
      <c r="N34" s="155">
        <f t="shared" si="2"/>
        <v>0</v>
      </c>
      <c r="O34" s="139"/>
      <c r="Q34" s="267" t="str">
        <f>AU!C87</f>
        <v xml:space="preserve"> - </v>
      </c>
      <c r="R34" s="268" t="str">
        <f>IF(AU!F87=0,"",AU!F87)</f>
        <v/>
      </c>
      <c r="S34" s="269">
        <f>AU!L87</f>
        <v>0</v>
      </c>
      <c r="T34" s="270">
        <f>AU!O87</f>
        <v>0</v>
      </c>
      <c r="U34" s="270">
        <f>AU!R87</f>
        <v>0</v>
      </c>
      <c r="V34" s="270">
        <f>AU!U87</f>
        <v>0</v>
      </c>
      <c r="W34" s="270">
        <f>AU!X87</f>
        <v>0</v>
      </c>
      <c r="X34" s="270">
        <f>AU!AA87</f>
        <v>0</v>
      </c>
      <c r="Y34" s="270">
        <f>AU!AD87</f>
        <v>0</v>
      </c>
      <c r="Z34" s="270">
        <f>AU!AG87</f>
        <v>0</v>
      </c>
      <c r="AA34" s="270">
        <f>AU!AJ87</f>
        <v>0</v>
      </c>
      <c r="AB34" s="270">
        <f>AU!AM87</f>
        <v>0</v>
      </c>
      <c r="AC34" s="271">
        <f t="shared" si="3"/>
        <v>0</v>
      </c>
    </row>
    <row r="35" spans="2:29" hidden="1" outlineLevel="2" x14ac:dyDescent="0.2">
      <c r="B35" s="151" t="str">
        <f>AU!C70</f>
        <v xml:space="preserve"> - </v>
      </c>
      <c r="C35" s="162" t="str">
        <f>IF(AU!F70=0,"",AU!F70)</f>
        <v/>
      </c>
      <c r="D35" s="148">
        <f>AU!L70</f>
        <v>0</v>
      </c>
      <c r="E35" s="149">
        <f>AU!O70</f>
        <v>0</v>
      </c>
      <c r="F35" s="149">
        <f>AU!R70</f>
        <v>0</v>
      </c>
      <c r="G35" s="149">
        <f>AU!U70</f>
        <v>0</v>
      </c>
      <c r="H35" s="149">
        <f>AU!X70</f>
        <v>0</v>
      </c>
      <c r="I35" s="149">
        <f>AU!AA70</f>
        <v>0</v>
      </c>
      <c r="J35" s="149">
        <f>AU!AD70</f>
        <v>0</v>
      </c>
      <c r="K35" s="149">
        <f>AU!AG70</f>
        <v>0</v>
      </c>
      <c r="L35" s="149">
        <f>AU!AJ70</f>
        <v>0</v>
      </c>
      <c r="M35" s="149">
        <f>AU!AM70</f>
        <v>0</v>
      </c>
      <c r="N35" s="155">
        <f t="shared" si="2"/>
        <v>0</v>
      </c>
      <c r="O35" s="139"/>
      <c r="Q35" s="267" t="str">
        <f>AU!C88</f>
        <v xml:space="preserve"> - </v>
      </c>
      <c r="R35" s="268" t="str">
        <f>IF(AU!F88=0,"",AU!F88)</f>
        <v/>
      </c>
      <c r="S35" s="269">
        <f>AU!L88</f>
        <v>0</v>
      </c>
      <c r="T35" s="270">
        <f>AU!O88</f>
        <v>0</v>
      </c>
      <c r="U35" s="270">
        <f>AU!R88</f>
        <v>0</v>
      </c>
      <c r="V35" s="270">
        <f>AU!U88</f>
        <v>0</v>
      </c>
      <c r="W35" s="270">
        <f>AU!X88</f>
        <v>0</v>
      </c>
      <c r="X35" s="270">
        <f>AU!AA88</f>
        <v>0</v>
      </c>
      <c r="Y35" s="270">
        <f>AU!AD88</f>
        <v>0</v>
      </c>
      <c r="Z35" s="270">
        <f>AU!AG88</f>
        <v>0</v>
      </c>
      <c r="AA35" s="270">
        <f>AU!AJ88</f>
        <v>0</v>
      </c>
      <c r="AB35" s="270">
        <f>AU!AM88</f>
        <v>0</v>
      </c>
      <c r="AC35" s="271">
        <f t="shared" si="3"/>
        <v>0</v>
      </c>
    </row>
    <row r="36" spans="2:29" hidden="1" outlineLevel="2" x14ac:dyDescent="0.2">
      <c r="B36" s="164" t="str">
        <f>AU!C71</f>
        <v xml:space="preserve"> - </v>
      </c>
      <c r="C36" s="165" t="str">
        <f>IF(AU!F71=0,"",AU!F71)</f>
        <v/>
      </c>
      <c r="D36" s="166">
        <f>AU!L71</f>
        <v>0</v>
      </c>
      <c r="E36" s="167">
        <f>AU!O71</f>
        <v>0</v>
      </c>
      <c r="F36" s="167">
        <f>AU!R71</f>
        <v>0</v>
      </c>
      <c r="G36" s="167">
        <f>AU!U71</f>
        <v>0</v>
      </c>
      <c r="H36" s="167">
        <f>AU!X71</f>
        <v>0</v>
      </c>
      <c r="I36" s="156">
        <f>AU!AA71</f>
        <v>0</v>
      </c>
      <c r="J36" s="156">
        <f>AU!AD71</f>
        <v>0</v>
      </c>
      <c r="K36" s="156">
        <f>AU!AG71</f>
        <v>0</v>
      </c>
      <c r="L36" s="156">
        <f>AU!AJ71</f>
        <v>0</v>
      </c>
      <c r="M36" s="156">
        <f>AU!AM71</f>
        <v>0</v>
      </c>
      <c r="N36" s="168">
        <f t="shared" si="2"/>
        <v>0</v>
      </c>
      <c r="O36" s="139"/>
      <c r="Q36" s="701" t="str">
        <f>AU!C89</f>
        <v xml:space="preserve"> - </v>
      </c>
      <c r="R36" s="320" t="str">
        <f>IF(AU!F89=0,"",AU!F89)</f>
        <v/>
      </c>
      <c r="S36" s="321">
        <f>AU!L89</f>
        <v>0</v>
      </c>
      <c r="T36" s="322">
        <f>AU!O89</f>
        <v>0</v>
      </c>
      <c r="U36" s="322">
        <f>AU!R89</f>
        <v>0</v>
      </c>
      <c r="V36" s="322">
        <f>AU!U89</f>
        <v>0</v>
      </c>
      <c r="W36" s="322">
        <f>AU!X89</f>
        <v>0</v>
      </c>
      <c r="X36" s="322">
        <f>AU!AA89</f>
        <v>0</v>
      </c>
      <c r="Y36" s="322">
        <f>AU!AD89</f>
        <v>0</v>
      </c>
      <c r="Z36" s="322">
        <f>AU!AG89</f>
        <v>0</v>
      </c>
      <c r="AA36" s="322">
        <f>AU!AJ89</f>
        <v>0</v>
      </c>
      <c r="AB36" s="322">
        <f>AU!AM89</f>
        <v>0</v>
      </c>
      <c r="AC36" s="323">
        <f t="shared" si="3"/>
        <v>0</v>
      </c>
    </row>
    <row r="37" spans="2:29" ht="16" outlineLevel="1" collapsed="1" thickBot="1" x14ac:dyDescent="0.25">
      <c r="B37" s="158" t="s">
        <v>120</v>
      </c>
      <c r="C37" s="159"/>
      <c r="D37" s="169">
        <f t="shared" ref="D37:N37" si="4">SUM(D4:D36)</f>
        <v>18</v>
      </c>
      <c r="E37" s="170">
        <f t="shared" si="4"/>
        <v>36</v>
      </c>
      <c r="F37" s="170">
        <f t="shared" si="4"/>
        <v>48</v>
      </c>
      <c r="G37" s="170">
        <f t="shared" si="4"/>
        <v>42</v>
      </c>
      <c r="H37" s="170">
        <f t="shared" si="4"/>
        <v>24</v>
      </c>
      <c r="I37" s="170">
        <f t="shared" si="4"/>
        <v>12</v>
      </c>
      <c r="J37" s="170">
        <f t="shared" si="4"/>
        <v>0</v>
      </c>
      <c r="K37" s="170">
        <f t="shared" si="4"/>
        <v>0</v>
      </c>
      <c r="L37" s="170">
        <f t="shared" si="4"/>
        <v>0</v>
      </c>
      <c r="M37" s="171">
        <f t="shared" si="4"/>
        <v>0</v>
      </c>
      <c r="N37" s="160">
        <f t="shared" si="4"/>
        <v>180</v>
      </c>
      <c r="O37" s="139"/>
      <c r="Q37" s="697" t="s">
        <v>120</v>
      </c>
      <c r="R37" s="698"/>
      <c r="S37" s="699">
        <f t="shared" ref="S37:X37" si="5">SUM(S4:S36)</f>
        <v>0</v>
      </c>
      <c r="T37" s="699">
        <f t="shared" si="5"/>
        <v>0</v>
      </c>
      <c r="U37" s="699">
        <f t="shared" si="5"/>
        <v>0</v>
      </c>
      <c r="V37" s="699">
        <f t="shared" si="5"/>
        <v>0</v>
      </c>
      <c r="W37" s="699">
        <f t="shared" si="5"/>
        <v>0</v>
      </c>
      <c r="X37" s="699">
        <f t="shared" si="5"/>
        <v>0</v>
      </c>
      <c r="Y37" s="699">
        <f t="shared" ref="Y37:AA37" si="6">SUM(Y4:Y36)</f>
        <v>0</v>
      </c>
      <c r="Z37" s="699">
        <f t="shared" si="6"/>
        <v>0</v>
      </c>
      <c r="AA37" s="699">
        <f t="shared" si="6"/>
        <v>0</v>
      </c>
      <c r="AB37" s="699">
        <f>SUM(AB4:AB36)</f>
        <v>0</v>
      </c>
      <c r="AC37" s="700">
        <f>SUM(AC4:AC36)</f>
        <v>0</v>
      </c>
    </row>
    <row r="38" spans="2:29" ht="17" outlineLevel="1" thickTop="1" thickBot="1" x14ac:dyDescent="0.25"/>
    <row r="39" spans="2:29" outlineLevel="1" x14ac:dyDescent="0.2">
      <c r="B39" s="523" t="str">
        <f>AU!C19&amp;" Salary costs "</f>
        <v xml:space="preserve">1. VIP Salary costs </v>
      </c>
      <c r="C39" s="533"/>
      <c r="D39" s="525" t="str">
        <f>AU!L15</f>
        <v>Year 1</v>
      </c>
      <c r="E39" s="526" t="str">
        <f>AU!O15</f>
        <v>Year 2</v>
      </c>
      <c r="F39" s="526" t="str">
        <f>AU!R15</f>
        <v>Year 3</v>
      </c>
      <c r="G39" s="526" t="str">
        <f>AU!U15</f>
        <v>Year 4</v>
      </c>
      <c r="H39" s="526" t="str">
        <f>AU!X15</f>
        <v>Year 5</v>
      </c>
      <c r="I39" s="526" t="str">
        <f>AU!AA15</f>
        <v>Year 6</v>
      </c>
      <c r="J39" s="526" t="str">
        <f>AU!AD15</f>
        <v>Year 7</v>
      </c>
      <c r="K39" s="526" t="str">
        <f>AU!AG15</f>
        <v>Year 8</v>
      </c>
      <c r="L39" s="526" t="str">
        <f>AU!AJ15</f>
        <v>Year 9</v>
      </c>
      <c r="M39" s="527" t="str">
        <f>AU!AM15</f>
        <v>Year 10</v>
      </c>
      <c r="N39" s="528" t="s">
        <v>120</v>
      </c>
      <c r="Q39" s="257" t="str">
        <f>B39</f>
        <v xml:space="preserve">1. VIP Salary costs </v>
      </c>
      <c r="R39" s="258"/>
      <c r="S39" s="306" t="str">
        <f>AU!L15</f>
        <v>Year 1</v>
      </c>
      <c r="T39" s="307" t="str">
        <f>AU!O15</f>
        <v>Year 2</v>
      </c>
      <c r="U39" s="307" t="str">
        <f>AU!R15</f>
        <v>Year 3</v>
      </c>
      <c r="V39" s="307" t="str">
        <f>AU!U15</f>
        <v>Year 4</v>
      </c>
      <c r="W39" s="307" t="str">
        <f>AU!X15</f>
        <v>Year 5</v>
      </c>
      <c r="X39" s="307" t="str">
        <f>AU!AA15</f>
        <v>Year 6</v>
      </c>
      <c r="Y39" s="307" t="str">
        <f>AU!AD15</f>
        <v>Year 7</v>
      </c>
      <c r="Z39" s="307" t="str">
        <f>AU!AG15</f>
        <v>Year 8</v>
      </c>
      <c r="AA39" s="307" t="str">
        <f>AU!AJ15</f>
        <v>Year 9</v>
      </c>
      <c r="AB39" s="308" t="str">
        <f>AU!AM15</f>
        <v>Year 10</v>
      </c>
      <c r="AC39" s="256" t="s">
        <v>120</v>
      </c>
    </row>
    <row r="40" spans="2:29" outlineLevel="1" x14ac:dyDescent="0.2">
      <c r="B40" s="146" t="str">
        <f>AU!C20</f>
        <v>Postdoc</v>
      </c>
      <c r="C40" s="147" t="str">
        <f>IF(AU!F20=0,"",AU!F20)</f>
        <v/>
      </c>
      <c r="D40" s="148">
        <f>AU!N20</f>
        <v>662001.6</v>
      </c>
      <c r="E40" s="149">
        <f>AU!Q20</f>
        <v>681861.64800000004</v>
      </c>
      <c r="F40" s="88">
        <f>AU!T20</f>
        <v>702317.49743999995</v>
      </c>
      <c r="G40" s="149">
        <f>AU!W20</f>
        <v>0</v>
      </c>
      <c r="H40" s="149">
        <f>AU!Z20</f>
        <v>0</v>
      </c>
      <c r="I40" s="149">
        <f>AU!AC20</f>
        <v>0</v>
      </c>
      <c r="J40" s="149">
        <f>AU!AF20</f>
        <v>0</v>
      </c>
      <c r="K40" s="149">
        <f>AU!AI20</f>
        <v>0</v>
      </c>
      <c r="L40" s="149">
        <f>AU!AL20</f>
        <v>0</v>
      </c>
      <c r="M40" s="149">
        <f>AU!AO20</f>
        <v>0</v>
      </c>
      <c r="N40" s="150">
        <f>SUM(D40:M40)</f>
        <v>2046180.7454400002</v>
      </c>
      <c r="Q40" s="261" t="str">
        <f>AU!C38</f>
        <v xml:space="preserve"> - </v>
      </c>
      <c r="R40" s="262" t="str">
        <f>IF(AU!F38=0,"",AU!F38)</f>
        <v/>
      </c>
      <c r="S40" s="263" t="str">
        <f>AU!N38</f>
        <v/>
      </c>
      <c r="T40" s="264" t="str">
        <f>AU!Q38</f>
        <v/>
      </c>
      <c r="U40" s="265" t="str">
        <f>AU!T38</f>
        <v/>
      </c>
      <c r="V40" s="264" t="str">
        <f>AU!W38</f>
        <v/>
      </c>
      <c r="W40" s="264" t="str">
        <f>AU!Z38</f>
        <v/>
      </c>
      <c r="X40" s="264" t="str">
        <f>AU!AC38</f>
        <v/>
      </c>
      <c r="Y40" s="264" t="str">
        <f>AU!AF38</f>
        <v/>
      </c>
      <c r="Z40" s="264" t="str">
        <f>AU!AI38</f>
        <v/>
      </c>
      <c r="AA40" s="264" t="str">
        <f>AU!AL38</f>
        <v/>
      </c>
      <c r="AB40" s="264" t="str">
        <f>AU!AO38</f>
        <v/>
      </c>
      <c r="AC40" s="266">
        <f>SUM(S40:AB40)</f>
        <v>0</v>
      </c>
    </row>
    <row r="41" spans="2:29" outlineLevel="1" x14ac:dyDescent="0.2">
      <c r="B41" s="151" t="str">
        <f>AU!C21</f>
        <v>Postdoc</v>
      </c>
      <c r="C41" s="152" t="str">
        <f>IF(AU!F21=0,"",AU!F21)</f>
        <v/>
      </c>
      <c r="D41" s="153">
        <f>AU!N21</f>
        <v>0</v>
      </c>
      <c r="E41" s="154">
        <f>AU!Q21</f>
        <v>681861.64800000004</v>
      </c>
      <c r="F41" s="154">
        <f>AU!T21</f>
        <v>702317.49743999995</v>
      </c>
      <c r="G41" s="154">
        <f>AU!W21</f>
        <v>723387.02236319997</v>
      </c>
      <c r="H41" s="154">
        <f>AU!Z21</f>
        <v>0</v>
      </c>
      <c r="I41" s="154">
        <f>AU!AC21</f>
        <v>0</v>
      </c>
      <c r="J41" s="154">
        <f>AU!AF21</f>
        <v>0</v>
      </c>
      <c r="K41" s="154">
        <f>AU!AI21</f>
        <v>0</v>
      </c>
      <c r="L41" s="154">
        <f>AU!AL21</f>
        <v>0</v>
      </c>
      <c r="M41" s="154">
        <f>AU!AO21</f>
        <v>0</v>
      </c>
      <c r="N41" s="155">
        <f t="shared" ref="N41:N55" si="7">SUM(D41:M41)</f>
        <v>2107566.1678032</v>
      </c>
      <c r="Q41" s="267" t="str">
        <f>AU!C39</f>
        <v xml:space="preserve"> - </v>
      </c>
      <c r="R41" s="268" t="str">
        <f>IF(AU!F39=0,"",AU!F39)</f>
        <v/>
      </c>
      <c r="S41" s="263" t="str">
        <f>AU!N39</f>
        <v/>
      </c>
      <c r="T41" s="264" t="str">
        <f>AU!Q39</f>
        <v/>
      </c>
      <c r="U41" s="265" t="str">
        <f>AU!T39</f>
        <v/>
      </c>
      <c r="V41" s="264" t="str">
        <f>AU!W39</f>
        <v/>
      </c>
      <c r="W41" s="264" t="str">
        <f>AU!Z39</f>
        <v/>
      </c>
      <c r="X41" s="264" t="str">
        <f>AU!AC39</f>
        <v/>
      </c>
      <c r="Y41" s="264" t="str">
        <f>AU!AF39</f>
        <v/>
      </c>
      <c r="Z41" s="264" t="str">
        <f>AU!AI39</f>
        <v/>
      </c>
      <c r="AA41" s="264" t="str">
        <f>AU!AL39</f>
        <v/>
      </c>
      <c r="AB41" s="264" t="str">
        <f>AU!AO39</f>
        <v/>
      </c>
      <c r="AC41" s="271">
        <f>SUM(S41:AB41)</f>
        <v>0</v>
      </c>
    </row>
    <row r="42" spans="2:29" outlineLevel="1" x14ac:dyDescent="0.2">
      <c r="B42" s="151" t="str">
        <f>AU!C22</f>
        <v>Postdoc</v>
      </c>
      <c r="C42" s="152" t="str">
        <f>IF(AU!F22=0,"",AU!F22)</f>
        <v/>
      </c>
      <c r="D42" s="153">
        <f>AU!N22</f>
        <v>0</v>
      </c>
      <c r="E42" s="154">
        <f>AU!Q22</f>
        <v>0</v>
      </c>
      <c r="F42" s="154">
        <f>AU!T22</f>
        <v>351158.74871999997</v>
      </c>
      <c r="G42" s="154">
        <f>AU!W22</f>
        <v>723387.02236319997</v>
      </c>
      <c r="H42" s="154">
        <f>AU!Z22</f>
        <v>745088.63303409587</v>
      </c>
      <c r="I42" s="154">
        <f>AU!AC22</f>
        <v>383720.64601255942</v>
      </c>
      <c r="J42" s="154">
        <f>AU!AF22</f>
        <v>0</v>
      </c>
      <c r="K42" s="154">
        <f>AU!AI22</f>
        <v>0</v>
      </c>
      <c r="L42" s="154">
        <f>AU!AL22</f>
        <v>0</v>
      </c>
      <c r="M42" s="154">
        <f>AU!AO22</f>
        <v>0</v>
      </c>
      <c r="N42" s="155">
        <f t="shared" si="7"/>
        <v>2203355.0501298551</v>
      </c>
      <c r="Q42" s="267" t="str">
        <f>AU!C40</f>
        <v xml:space="preserve"> - </v>
      </c>
      <c r="R42" s="268" t="str">
        <f>IF(AU!F40=0,"",AU!F40)</f>
        <v/>
      </c>
      <c r="S42" s="263" t="str">
        <f>AU!N40</f>
        <v/>
      </c>
      <c r="T42" s="264" t="str">
        <f>AU!Q40</f>
        <v/>
      </c>
      <c r="U42" s="265" t="str">
        <f>AU!T40</f>
        <v/>
      </c>
      <c r="V42" s="264" t="str">
        <f>AU!W40</f>
        <v/>
      </c>
      <c r="W42" s="264" t="str">
        <f>AU!Z40</f>
        <v/>
      </c>
      <c r="X42" s="264" t="str">
        <f>AU!AC40</f>
        <v/>
      </c>
      <c r="Y42" s="264" t="str">
        <f>AU!AF40</f>
        <v/>
      </c>
      <c r="Z42" s="264" t="str">
        <f>AU!AI40</f>
        <v/>
      </c>
      <c r="AA42" s="264" t="str">
        <f>AU!AL40</f>
        <v/>
      </c>
      <c r="AB42" s="264" t="str">
        <f>AU!AO40</f>
        <v/>
      </c>
      <c r="AC42" s="271">
        <f>SUM(S42:AB42)</f>
        <v>0</v>
      </c>
    </row>
    <row r="43" spans="2:29" outlineLevel="1" x14ac:dyDescent="0.2">
      <c r="B43" s="151" t="str">
        <f>AU!C23</f>
        <v>PhD Student</v>
      </c>
      <c r="C43" s="152" t="str">
        <f>IF(AU!F23=0,"",AU!F23)</f>
        <v/>
      </c>
      <c r="D43" s="148">
        <f>AU!N23</f>
        <v>267346.8</v>
      </c>
      <c r="E43" s="149">
        <f>AU!Q23</f>
        <v>550734.40800000005</v>
      </c>
      <c r="F43" s="149">
        <f>AU!T23</f>
        <v>567256.44023999991</v>
      </c>
      <c r="G43" s="149">
        <f>AU!W23</f>
        <v>292137.06672359997</v>
      </c>
      <c r="H43" s="149">
        <f>AU!Z23</f>
        <v>0</v>
      </c>
      <c r="I43" s="149">
        <f>AU!AC23</f>
        <v>0</v>
      </c>
      <c r="J43" s="149">
        <f>AU!AF23</f>
        <v>0</v>
      </c>
      <c r="K43" s="149">
        <f>AU!AI23</f>
        <v>0</v>
      </c>
      <c r="L43" s="149">
        <f>AU!AL23</f>
        <v>0</v>
      </c>
      <c r="M43" s="149">
        <f>AU!AO23</f>
        <v>0</v>
      </c>
      <c r="N43" s="150">
        <f t="shared" si="7"/>
        <v>1677474.7149636</v>
      </c>
      <c r="Q43" s="267" t="str">
        <f>AU!C41</f>
        <v xml:space="preserve"> - </v>
      </c>
      <c r="R43" s="268" t="str">
        <f>IF(AU!F41=0,"",AU!F41)</f>
        <v/>
      </c>
      <c r="S43" s="263" t="str">
        <f>AU!N41</f>
        <v/>
      </c>
      <c r="T43" s="264" t="str">
        <f>AU!Q41</f>
        <v/>
      </c>
      <c r="U43" s="265" t="str">
        <f>AU!T41</f>
        <v/>
      </c>
      <c r="V43" s="264" t="str">
        <f>AU!W41</f>
        <v/>
      </c>
      <c r="W43" s="264" t="str">
        <f>AU!Z41</f>
        <v/>
      </c>
      <c r="X43" s="264" t="str">
        <f>AU!AC41</f>
        <v/>
      </c>
      <c r="Y43" s="264" t="str">
        <f>AU!AF41</f>
        <v/>
      </c>
      <c r="Z43" s="264" t="str">
        <f>AU!AI41</f>
        <v/>
      </c>
      <c r="AA43" s="264" t="str">
        <f>AU!AL41</f>
        <v/>
      </c>
      <c r="AB43" s="264" t="str">
        <f>AU!AO41</f>
        <v/>
      </c>
      <c r="AC43" s="271">
        <f t="shared" ref="AC43:AC55" si="8">SUM(S43:AB43)</f>
        <v>0</v>
      </c>
    </row>
    <row r="44" spans="2:29" outlineLevel="1" x14ac:dyDescent="0.2">
      <c r="B44" s="151" t="str">
        <f>AU!C24</f>
        <v>PhD Student</v>
      </c>
      <c r="C44" s="152" t="str">
        <f>IF(AU!F24=0,"",AU!F24)</f>
        <v/>
      </c>
      <c r="D44" s="153">
        <f>AU!N24</f>
        <v>0</v>
      </c>
      <c r="E44" s="154">
        <f>AU!Q24</f>
        <v>0</v>
      </c>
      <c r="F44" s="154">
        <f>AU!T24</f>
        <v>283628.22011999995</v>
      </c>
      <c r="G44" s="154">
        <f>AU!W24</f>
        <v>584274.13344719994</v>
      </c>
      <c r="H44" s="154">
        <f>AU!Z24</f>
        <v>601802.35745061596</v>
      </c>
      <c r="I44" s="154">
        <f>AU!AC24</f>
        <v>309928.21408706723</v>
      </c>
      <c r="J44" s="154">
        <f>AU!AF24</f>
        <v>0</v>
      </c>
      <c r="K44" s="154">
        <f>AU!AI24</f>
        <v>0</v>
      </c>
      <c r="L44" s="154">
        <f>AU!AL24</f>
        <v>0</v>
      </c>
      <c r="M44" s="154">
        <f>AU!AO24</f>
        <v>0</v>
      </c>
      <c r="N44" s="155">
        <f t="shared" si="7"/>
        <v>1779632.925104883</v>
      </c>
      <c r="Q44" s="267" t="str">
        <f>AU!C42</f>
        <v xml:space="preserve"> - </v>
      </c>
      <c r="R44" s="268" t="str">
        <f>IF(AU!F42=0,"",AU!F42)</f>
        <v/>
      </c>
      <c r="S44" s="263" t="str">
        <f>AU!N42</f>
        <v/>
      </c>
      <c r="T44" s="264" t="str">
        <f>AU!Q42</f>
        <v/>
      </c>
      <c r="U44" s="265" t="str">
        <f>AU!T42</f>
        <v/>
      </c>
      <c r="V44" s="264" t="str">
        <f>AU!W42</f>
        <v/>
      </c>
      <c r="W44" s="264" t="str">
        <f>AU!Z42</f>
        <v/>
      </c>
      <c r="X44" s="264" t="str">
        <f>AU!AC42</f>
        <v/>
      </c>
      <c r="Y44" s="264" t="str">
        <f>AU!AF42</f>
        <v/>
      </c>
      <c r="Z44" s="264" t="str">
        <f>AU!AI42</f>
        <v/>
      </c>
      <c r="AA44" s="264" t="str">
        <f>AU!AL42</f>
        <v/>
      </c>
      <c r="AB44" s="264" t="str">
        <f>AU!AO42</f>
        <v/>
      </c>
      <c r="AC44" s="271">
        <f t="shared" si="8"/>
        <v>0</v>
      </c>
    </row>
    <row r="45" spans="2:29" outlineLevel="1" x14ac:dyDescent="0.2">
      <c r="B45" s="151" t="str">
        <f>AU!C25</f>
        <v xml:space="preserve"> - </v>
      </c>
      <c r="C45" s="152" t="str">
        <f>IF(AU!F25=0,"",AU!F25)</f>
        <v/>
      </c>
      <c r="D45" s="148" t="str">
        <f>AU!N25</f>
        <v/>
      </c>
      <c r="E45" s="149" t="str">
        <f>AU!Q25</f>
        <v/>
      </c>
      <c r="F45" s="149" t="str">
        <f>AU!T25</f>
        <v/>
      </c>
      <c r="G45" s="149" t="str">
        <f>AU!W25</f>
        <v/>
      </c>
      <c r="H45" s="149" t="str">
        <f>AU!Z25</f>
        <v/>
      </c>
      <c r="I45" s="149" t="str">
        <f>AU!AC25</f>
        <v/>
      </c>
      <c r="J45" s="149" t="str">
        <f>AU!AF25</f>
        <v/>
      </c>
      <c r="K45" s="149" t="str">
        <f>AU!AI25</f>
        <v/>
      </c>
      <c r="L45" s="149" t="str">
        <f>AU!AL25</f>
        <v/>
      </c>
      <c r="M45" s="149" t="str">
        <f>AU!AO25</f>
        <v/>
      </c>
      <c r="N45" s="150">
        <f t="shared" si="7"/>
        <v>0</v>
      </c>
      <c r="Q45" s="267" t="str">
        <f>AU!C43</f>
        <v xml:space="preserve"> - </v>
      </c>
      <c r="R45" s="268" t="str">
        <f>IF(AU!F43=0,"",AU!F43)</f>
        <v/>
      </c>
      <c r="S45" s="263" t="str">
        <f>AU!N43</f>
        <v/>
      </c>
      <c r="T45" s="264" t="str">
        <f>AU!Q43</f>
        <v/>
      </c>
      <c r="U45" s="265" t="str">
        <f>AU!T43</f>
        <v/>
      </c>
      <c r="V45" s="264" t="str">
        <f>AU!W43</f>
        <v/>
      </c>
      <c r="W45" s="264" t="str">
        <f>AU!Z43</f>
        <v/>
      </c>
      <c r="X45" s="264" t="str">
        <f>AU!AC43</f>
        <v/>
      </c>
      <c r="Y45" s="264" t="str">
        <f>AU!AF43</f>
        <v/>
      </c>
      <c r="Z45" s="264" t="str">
        <f>AU!AI43</f>
        <v/>
      </c>
      <c r="AA45" s="264" t="str">
        <f>AU!AL43</f>
        <v/>
      </c>
      <c r="AB45" s="264" t="str">
        <f>AU!AO43</f>
        <v/>
      </c>
      <c r="AC45" s="271">
        <f t="shared" si="8"/>
        <v>0</v>
      </c>
    </row>
    <row r="46" spans="2:29" outlineLevel="1" x14ac:dyDescent="0.2">
      <c r="B46" s="151" t="str">
        <f>AU!C26</f>
        <v xml:space="preserve"> - </v>
      </c>
      <c r="C46" s="152" t="str">
        <f>IF(AU!F26=0,"",AU!F26)</f>
        <v/>
      </c>
      <c r="D46" s="148" t="str">
        <f>AU!N26</f>
        <v/>
      </c>
      <c r="E46" s="149" t="str">
        <f>AU!Q26</f>
        <v/>
      </c>
      <c r="F46" s="149" t="str">
        <f>AU!T26</f>
        <v/>
      </c>
      <c r="G46" s="149" t="str">
        <f>AU!W26</f>
        <v/>
      </c>
      <c r="H46" s="149" t="str">
        <f>AU!Z26</f>
        <v/>
      </c>
      <c r="I46" s="149" t="str">
        <f>AU!AC26</f>
        <v/>
      </c>
      <c r="J46" s="149" t="str">
        <f>AU!AF26</f>
        <v/>
      </c>
      <c r="K46" s="149" t="str">
        <f>AU!AI26</f>
        <v/>
      </c>
      <c r="L46" s="149" t="str">
        <f>AU!AL26</f>
        <v/>
      </c>
      <c r="M46" s="149" t="str">
        <f>AU!AO26</f>
        <v/>
      </c>
      <c r="N46" s="150">
        <f t="shared" si="7"/>
        <v>0</v>
      </c>
      <c r="Q46" s="267" t="str">
        <f>AU!C44</f>
        <v xml:space="preserve"> - </v>
      </c>
      <c r="R46" s="268" t="str">
        <f>IF(AU!F44=0,"",AU!F44)</f>
        <v/>
      </c>
      <c r="S46" s="263" t="str">
        <f>AU!N44</f>
        <v/>
      </c>
      <c r="T46" s="264" t="str">
        <f>AU!Q44</f>
        <v/>
      </c>
      <c r="U46" s="265" t="str">
        <f>AU!T44</f>
        <v/>
      </c>
      <c r="V46" s="264" t="str">
        <f>AU!W44</f>
        <v/>
      </c>
      <c r="W46" s="264" t="str">
        <f>AU!Z44</f>
        <v/>
      </c>
      <c r="X46" s="264" t="str">
        <f>AU!AC44</f>
        <v/>
      </c>
      <c r="Y46" s="264" t="str">
        <f>AU!AF44</f>
        <v/>
      </c>
      <c r="Z46" s="264" t="str">
        <f>AU!AI44</f>
        <v/>
      </c>
      <c r="AA46" s="264" t="str">
        <f>AU!AL44</f>
        <v/>
      </c>
      <c r="AB46" s="264" t="str">
        <f>AU!AO44</f>
        <v/>
      </c>
      <c r="AC46" s="271">
        <f t="shared" si="8"/>
        <v>0</v>
      </c>
    </row>
    <row r="47" spans="2:29" outlineLevel="1" x14ac:dyDescent="0.2">
      <c r="B47" s="151" t="str">
        <f>AU!C27</f>
        <v xml:space="preserve"> - </v>
      </c>
      <c r="C47" s="152" t="str">
        <f>IF(AU!F27=0,"",AU!F27)</f>
        <v/>
      </c>
      <c r="D47" s="148" t="str">
        <f>AU!N27</f>
        <v/>
      </c>
      <c r="E47" s="149" t="str">
        <f>AU!Q27</f>
        <v/>
      </c>
      <c r="F47" s="149" t="str">
        <f>AU!T27</f>
        <v/>
      </c>
      <c r="G47" s="149" t="str">
        <f>AU!W27</f>
        <v/>
      </c>
      <c r="H47" s="149" t="str">
        <f>AU!Z27</f>
        <v/>
      </c>
      <c r="I47" s="149" t="str">
        <f>AU!AC27</f>
        <v/>
      </c>
      <c r="J47" s="149" t="str">
        <f>AU!AF27</f>
        <v/>
      </c>
      <c r="K47" s="149" t="str">
        <f>AU!AI27</f>
        <v/>
      </c>
      <c r="L47" s="149" t="str">
        <f>AU!AL27</f>
        <v/>
      </c>
      <c r="M47" s="149" t="str">
        <f>AU!AO27</f>
        <v/>
      </c>
      <c r="N47" s="150">
        <f t="shared" si="7"/>
        <v>0</v>
      </c>
      <c r="Q47" s="267" t="str">
        <f>AU!C45</f>
        <v xml:space="preserve"> - </v>
      </c>
      <c r="R47" s="268" t="str">
        <f>IF(AU!F45=0,"",AU!F45)</f>
        <v/>
      </c>
      <c r="S47" s="263" t="str">
        <f>AU!N45</f>
        <v/>
      </c>
      <c r="T47" s="264" t="str">
        <f>AU!Q45</f>
        <v/>
      </c>
      <c r="U47" s="265" t="str">
        <f>AU!T45</f>
        <v/>
      </c>
      <c r="V47" s="264" t="str">
        <f>AU!W45</f>
        <v/>
      </c>
      <c r="W47" s="264" t="str">
        <f>AU!Z45</f>
        <v/>
      </c>
      <c r="X47" s="264" t="str">
        <f>AU!AC45</f>
        <v/>
      </c>
      <c r="Y47" s="264" t="str">
        <f>AU!AF45</f>
        <v/>
      </c>
      <c r="Z47" s="264" t="str">
        <f>AU!AI45</f>
        <v/>
      </c>
      <c r="AA47" s="264" t="str">
        <f>AU!AL45</f>
        <v/>
      </c>
      <c r="AB47" s="264" t="str">
        <f>AU!AO45</f>
        <v/>
      </c>
      <c r="AC47" s="271">
        <f t="shared" si="8"/>
        <v>0</v>
      </c>
    </row>
    <row r="48" spans="2:29" hidden="1" outlineLevel="2" x14ac:dyDescent="0.2">
      <c r="B48" s="151" t="str">
        <f>AU!C28</f>
        <v xml:space="preserve"> - </v>
      </c>
      <c r="C48" s="152" t="str">
        <f>IF(AU!F28=0,"",AU!F28)</f>
        <v/>
      </c>
      <c r="D48" s="148" t="str">
        <f>AU!N28</f>
        <v/>
      </c>
      <c r="E48" s="149" t="str">
        <f>AU!Q28</f>
        <v/>
      </c>
      <c r="F48" s="149" t="str">
        <f>AU!T28</f>
        <v/>
      </c>
      <c r="G48" s="149" t="str">
        <f>AU!W28</f>
        <v/>
      </c>
      <c r="H48" s="149" t="str">
        <f>AU!Z28</f>
        <v/>
      </c>
      <c r="I48" s="149" t="str">
        <f>AU!AC28</f>
        <v/>
      </c>
      <c r="J48" s="149" t="str">
        <f>AU!AF28</f>
        <v/>
      </c>
      <c r="K48" s="149" t="str">
        <f>AU!AI28</f>
        <v/>
      </c>
      <c r="L48" s="149" t="str">
        <f>AU!AL28</f>
        <v/>
      </c>
      <c r="M48" s="149" t="str">
        <f>AU!AO28</f>
        <v/>
      </c>
      <c r="N48" s="150">
        <f t="shared" si="7"/>
        <v>0</v>
      </c>
      <c r="Q48" s="267" t="str">
        <f>AU!C46</f>
        <v xml:space="preserve"> - </v>
      </c>
      <c r="R48" s="268" t="str">
        <f>IF(AU!F46=0,"",AU!F46)</f>
        <v/>
      </c>
      <c r="S48" s="263" t="str">
        <f>AU!N46</f>
        <v/>
      </c>
      <c r="T48" s="264" t="str">
        <f>AU!Q46</f>
        <v/>
      </c>
      <c r="U48" s="265" t="str">
        <f>AU!T46</f>
        <v/>
      </c>
      <c r="V48" s="264" t="str">
        <f>AU!W46</f>
        <v/>
      </c>
      <c r="W48" s="264" t="str">
        <f>AU!Z46</f>
        <v/>
      </c>
      <c r="X48" s="264" t="str">
        <f>AU!AC46</f>
        <v/>
      </c>
      <c r="Y48" s="264" t="str">
        <f>AU!AF46</f>
        <v/>
      </c>
      <c r="Z48" s="264" t="str">
        <f>AU!AI46</f>
        <v/>
      </c>
      <c r="AA48" s="264" t="str">
        <f>AU!AL46</f>
        <v/>
      </c>
      <c r="AB48" s="264" t="str">
        <f>AU!AO46</f>
        <v/>
      </c>
      <c r="AC48" s="271">
        <f t="shared" si="8"/>
        <v>0</v>
      </c>
    </row>
    <row r="49" spans="2:29" hidden="1" outlineLevel="2" x14ac:dyDescent="0.2">
      <c r="B49" s="151" t="str">
        <f>AU!C29</f>
        <v xml:space="preserve"> - </v>
      </c>
      <c r="C49" s="152" t="str">
        <f>IF(AU!F29=0,"",AU!F29)</f>
        <v/>
      </c>
      <c r="D49" s="148" t="str">
        <f>AU!N29</f>
        <v/>
      </c>
      <c r="E49" s="149" t="str">
        <f>AU!Q29</f>
        <v/>
      </c>
      <c r="F49" s="149" t="str">
        <f>AU!T29</f>
        <v/>
      </c>
      <c r="G49" s="149" t="str">
        <f>AU!W29</f>
        <v/>
      </c>
      <c r="H49" s="149" t="str">
        <f>AU!Z29</f>
        <v/>
      </c>
      <c r="I49" s="149" t="str">
        <f>AU!AC29</f>
        <v/>
      </c>
      <c r="J49" s="149" t="str">
        <f>AU!AF29</f>
        <v/>
      </c>
      <c r="K49" s="149" t="str">
        <f>AU!AI29</f>
        <v/>
      </c>
      <c r="L49" s="149" t="str">
        <f>AU!AL29</f>
        <v/>
      </c>
      <c r="M49" s="149" t="str">
        <f>AU!AO29</f>
        <v/>
      </c>
      <c r="N49" s="150">
        <f t="shared" si="7"/>
        <v>0</v>
      </c>
      <c r="Q49" s="267" t="str">
        <f>AU!C47</f>
        <v xml:space="preserve"> - </v>
      </c>
      <c r="R49" s="268" t="str">
        <f>IF(AU!F47=0,"",AU!F47)</f>
        <v/>
      </c>
      <c r="S49" s="263" t="str">
        <f>AU!N47</f>
        <v/>
      </c>
      <c r="T49" s="264" t="str">
        <f>AU!Q47</f>
        <v/>
      </c>
      <c r="U49" s="265" t="str">
        <f>AU!T47</f>
        <v/>
      </c>
      <c r="V49" s="264" t="str">
        <f>AU!W47</f>
        <v/>
      </c>
      <c r="W49" s="264" t="str">
        <f>AU!Z47</f>
        <v/>
      </c>
      <c r="X49" s="264" t="str">
        <f>AU!AC47</f>
        <v/>
      </c>
      <c r="Y49" s="264" t="str">
        <f>AU!AF47</f>
        <v/>
      </c>
      <c r="Z49" s="264" t="str">
        <f>AU!AI47</f>
        <v/>
      </c>
      <c r="AA49" s="264" t="str">
        <f>AU!AL47</f>
        <v/>
      </c>
      <c r="AB49" s="264" t="str">
        <f>AU!AO47</f>
        <v/>
      </c>
      <c r="AC49" s="271">
        <f t="shared" si="8"/>
        <v>0</v>
      </c>
    </row>
    <row r="50" spans="2:29" hidden="1" outlineLevel="2" x14ac:dyDescent="0.2">
      <c r="B50" s="151" t="str">
        <f>AU!C30</f>
        <v xml:space="preserve"> - </v>
      </c>
      <c r="C50" s="152" t="str">
        <f>IF(AU!F30=0,"",AU!F30)</f>
        <v/>
      </c>
      <c r="D50" s="148" t="str">
        <f>AU!N30</f>
        <v/>
      </c>
      <c r="E50" s="149" t="str">
        <f>AU!Q30</f>
        <v/>
      </c>
      <c r="F50" s="149" t="str">
        <f>AU!T30</f>
        <v/>
      </c>
      <c r="G50" s="149" t="str">
        <f>AU!W30</f>
        <v/>
      </c>
      <c r="H50" s="149" t="str">
        <f>AU!Z30</f>
        <v/>
      </c>
      <c r="I50" s="149" t="str">
        <f>AU!AC30</f>
        <v/>
      </c>
      <c r="J50" s="149" t="str">
        <f>AU!AF30</f>
        <v/>
      </c>
      <c r="K50" s="149" t="str">
        <f>AU!AI30</f>
        <v/>
      </c>
      <c r="L50" s="149" t="str">
        <f>AU!AL30</f>
        <v/>
      </c>
      <c r="M50" s="149" t="str">
        <f>AU!AO30</f>
        <v/>
      </c>
      <c r="N50" s="150">
        <f t="shared" si="7"/>
        <v>0</v>
      </c>
      <c r="Q50" s="267" t="str">
        <f>AU!C48</f>
        <v xml:space="preserve"> - </v>
      </c>
      <c r="R50" s="268" t="str">
        <f>IF(AU!F48=0,"",AU!F48)</f>
        <v/>
      </c>
      <c r="S50" s="263" t="str">
        <f>AU!N48</f>
        <v/>
      </c>
      <c r="T50" s="264" t="str">
        <f>AU!Q48</f>
        <v/>
      </c>
      <c r="U50" s="265" t="str">
        <f>AU!T48</f>
        <v/>
      </c>
      <c r="V50" s="264" t="str">
        <f>AU!W48</f>
        <v/>
      </c>
      <c r="W50" s="264" t="str">
        <f>AU!Z48</f>
        <v/>
      </c>
      <c r="X50" s="264" t="str">
        <f>AU!AC48</f>
        <v/>
      </c>
      <c r="Y50" s="264" t="str">
        <f>AU!AF48</f>
        <v/>
      </c>
      <c r="Z50" s="264" t="str">
        <f>AU!AI48</f>
        <v/>
      </c>
      <c r="AA50" s="264" t="str">
        <f>AU!AL48</f>
        <v/>
      </c>
      <c r="AB50" s="264" t="str">
        <f>AU!AO48</f>
        <v/>
      </c>
      <c r="AC50" s="271">
        <f t="shared" si="8"/>
        <v>0</v>
      </c>
    </row>
    <row r="51" spans="2:29" hidden="1" outlineLevel="2" x14ac:dyDescent="0.2">
      <c r="B51" s="151" t="str">
        <f>AU!C31</f>
        <v xml:space="preserve"> - </v>
      </c>
      <c r="C51" s="152" t="str">
        <f>IF(AU!F31=0,"",AU!F31)</f>
        <v/>
      </c>
      <c r="D51" s="148" t="str">
        <f>AU!N31</f>
        <v/>
      </c>
      <c r="E51" s="149" t="str">
        <f>AU!Q31</f>
        <v/>
      </c>
      <c r="F51" s="149" t="str">
        <f>AU!T31</f>
        <v/>
      </c>
      <c r="G51" s="149" t="str">
        <f>AU!W31</f>
        <v/>
      </c>
      <c r="H51" s="149" t="str">
        <f>AU!Z31</f>
        <v/>
      </c>
      <c r="I51" s="149" t="str">
        <f>AU!AC31</f>
        <v/>
      </c>
      <c r="J51" s="149" t="str">
        <f>AU!AF31</f>
        <v/>
      </c>
      <c r="K51" s="149" t="str">
        <f>AU!AI31</f>
        <v/>
      </c>
      <c r="L51" s="149" t="str">
        <f>AU!AL31</f>
        <v/>
      </c>
      <c r="M51" s="149" t="str">
        <f>AU!AO31</f>
        <v/>
      </c>
      <c r="N51" s="150">
        <f t="shared" si="7"/>
        <v>0</v>
      </c>
      <c r="Q51" s="267" t="str">
        <f>AU!C49</f>
        <v xml:space="preserve"> - </v>
      </c>
      <c r="R51" s="268" t="str">
        <f>IF(AU!F49=0,"",AU!F49)</f>
        <v/>
      </c>
      <c r="S51" s="263" t="str">
        <f>AU!N49</f>
        <v/>
      </c>
      <c r="T51" s="264" t="str">
        <f>AU!Q49</f>
        <v/>
      </c>
      <c r="U51" s="265" t="str">
        <f>AU!T49</f>
        <v/>
      </c>
      <c r="V51" s="264" t="str">
        <f>AU!W49</f>
        <v/>
      </c>
      <c r="W51" s="264" t="str">
        <f>AU!Z49</f>
        <v/>
      </c>
      <c r="X51" s="264" t="str">
        <f>AU!AC49</f>
        <v/>
      </c>
      <c r="Y51" s="264" t="str">
        <f>AU!AF49</f>
        <v/>
      </c>
      <c r="Z51" s="264" t="str">
        <f>AU!AI49</f>
        <v/>
      </c>
      <c r="AA51" s="264" t="str">
        <f>AU!AL49</f>
        <v/>
      </c>
      <c r="AB51" s="264" t="str">
        <f>AU!AO49</f>
        <v/>
      </c>
      <c r="AC51" s="271">
        <f t="shared" si="8"/>
        <v>0</v>
      </c>
    </row>
    <row r="52" spans="2:29" hidden="1" outlineLevel="2" x14ac:dyDescent="0.2">
      <c r="B52" s="151" t="str">
        <f>AU!C32</f>
        <v xml:space="preserve"> - </v>
      </c>
      <c r="C52" s="152" t="str">
        <f>IF(AU!F32=0,"",AU!F32)</f>
        <v/>
      </c>
      <c r="D52" s="148" t="str">
        <f>AU!N32</f>
        <v/>
      </c>
      <c r="E52" s="149" t="str">
        <f>AU!Q32</f>
        <v/>
      </c>
      <c r="F52" s="149" t="str">
        <f>AU!T32</f>
        <v/>
      </c>
      <c r="G52" s="149" t="str">
        <f>AU!W32</f>
        <v/>
      </c>
      <c r="H52" s="149" t="str">
        <f>AU!Z32</f>
        <v/>
      </c>
      <c r="I52" s="149" t="str">
        <f>AU!AC32</f>
        <v/>
      </c>
      <c r="J52" s="149" t="str">
        <f>AU!AF32</f>
        <v/>
      </c>
      <c r="K52" s="149" t="str">
        <f>AU!AI32</f>
        <v/>
      </c>
      <c r="L52" s="149" t="str">
        <f>AU!AL32</f>
        <v/>
      </c>
      <c r="M52" s="149" t="str">
        <f>AU!AO32</f>
        <v/>
      </c>
      <c r="N52" s="150">
        <f t="shared" si="7"/>
        <v>0</v>
      </c>
      <c r="Q52" s="267" t="str">
        <f>AU!C50</f>
        <v xml:space="preserve"> - </v>
      </c>
      <c r="R52" s="268" t="str">
        <f>IF(AU!F50=0,"",AU!F50)</f>
        <v/>
      </c>
      <c r="S52" s="263" t="str">
        <f>AU!N50</f>
        <v/>
      </c>
      <c r="T52" s="264" t="str">
        <f>AU!Q50</f>
        <v/>
      </c>
      <c r="U52" s="265" t="str">
        <f>AU!T50</f>
        <v/>
      </c>
      <c r="V52" s="264" t="str">
        <f>AU!W50</f>
        <v/>
      </c>
      <c r="W52" s="264" t="str">
        <f>AU!Z50</f>
        <v/>
      </c>
      <c r="X52" s="264" t="str">
        <f>AU!AC50</f>
        <v/>
      </c>
      <c r="Y52" s="264" t="str">
        <f>AU!AF50</f>
        <v/>
      </c>
      <c r="Z52" s="264" t="str">
        <f>AU!AI50</f>
        <v/>
      </c>
      <c r="AA52" s="264" t="str">
        <f>AU!AL50</f>
        <v/>
      </c>
      <c r="AB52" s="264" t="str">
        <f>AU!AO50</f>
        <v/>
      </c>
      <c r="AC52" s="271">
        <f t="shared" si="8"/>
        <v>0</v>
      </c>
    </row>
    <row r="53" spans="2:29" hidden="1" outlineLevel="2" x14ac:dyDescent="0.2">
      <c r="B53" s="151" t="str">
        <f>AU!C33</f>
        <v xml:space="preserve"> - </v>
      </c>
      <c r="C53" s="152" t="str">
        <f>IF(AU!F33=0,"",AU!F33)</f>
        <v/>
      </c>
      <c r="D53" s="148" t="str">
        <f>AU!N33</f>
        <v/>
      </c>
      <c r="E53" s="149" t="str">
        <f>AU!Q33</f>
        <v/>
      </c>
      <c r="F53" s="149" t="str">
        <f>AU!T33</f>
        <v/>
      </c>
      <c r="G53" s="149" t="str">
        <f>AU!W33</f>
        <v/>
      </c>
      <c r="H53" s="149" t="str">
        <f>AU!Z33</f>
        <v/>
      </c>
      <c r="I53" s="149" t="str">
        <f>AU!AC33</f>
        <v/>
      </c>
      <c r="J53" s="149" t="str">
        <f>AU!AF33</f>
        <v/>
      </c>
      <c r="K53" s="149" t="str">
        <f>AU!AI33</f>
        <v/>
      </c>
      <c r="L53" s="149" t="str">
        <f>AU!AL33</f>
        <v/>
      </c>
      <c r="M53" s="149" t="str">
        <f>AU!AO33</f>
        <v/>
      </c>
      <c r="N53" s="150">
        <f t="shared" si="7"/>
        <v>0</v>
      </c>
      <c r="Q53" s="267" t="str">
        <f>AU!C51</f>
        <v xml:space="preserve"> - </v>
      </c>
      <c r="R53" s="268" t="str">
        <f>IF(AU!F51=0,"",AU!F51)</f>
        <v/>
      </c>
      <c r="S53" s="263" t="str">
        <f>AU!N51</f>
        <v/>
      </c>
      <c r="T53" s="264" t="str">
        <f>AU!Q51</f>
        <v/>
      </c>
      <c r="U53" s="265" t="str">
        <f>AU!T51</f>
        <v/>
      </c>
      <c r="V53" s="264" t="str">
        <f>AU!W51</f>
        <v/>
      </c>
      <c r="W53" s="264" t="str">
        <f>AU!Z51</f>
        <v/>
      </c>
      <c r="X53" s="264" t="str">
        <f>AU!AC51</f>
        <v/>
      </c>
      <c r="Y53" s="264" t="str">
        <f>AU!AF51</f>
        <v/>
      </c>
      <c r="Z53" s="264" t="str">
        <f>AU!AI51</f>
        <v/>
      </c>
      <c r="AA53" s="264" t="str">
        <f>AU!AL51</f>
        <v/>
      </c>
      <c r="AB53" s="264" t="str">
        <f>AU!AO51</f>
        <v/>
      </c>
      <c r="AC53" s="271">
        <f t="shared" si="8"/>
        <v>0</v>
      </c>
    </row>
    <row r="54" spans="2:29" hidden="1" outlineLevel="2" x14ac:dyDescent="0.2">
      <c r="B54" s="151" t="str">
        <f>AU!C34</f>
        <v xml:space="preserve"> - </v>
      </c>
      <c r="C54" s="152" t="str">
        <f>IF(AU!F34=0,"",AU!F34)</f>
        <v/>
      </c>
      <c r="D54" s="148" t="str">
        <f>AU!N34</f>
        <v/>
      </c>
      <c r="E54" s="149" t="str">
        <f>AU!Q34</f>
        <v/>
      </c>
      <c r="F54" s="149" t="str">
        <f>AU!T34</f>
        <v/>
      </c>
      <c r="G54" s="149" t="str">
        <f>AU!W34</f>
        <v/>
      </c>
      <c r="H54" s="149" t="str">
        <f>AU!Z34</f>
        <v/>
      </c>
      <c r="I54" s="149" t="str">
        <f>AU!AC34</f>
        <v/>
      </c>
      <c r="J54" s="149" t="str">
        <f>AU!AF34</f>
        <v/>
      </c>
      <c r="K54" s="149" t="str">
        <f>AU!AI34</f>
        <v/>
      </c>
      <c r="L54" s="149" t="str">
        <f>AU!AL34</f>
        <v/>
      </c>
      <c r="M54" s="149" t="str">
        <f>AU!AO34</f>
        <v/>
      </c>
      <c r="N54" s="150">
        <f t="shared" si="7"/>
        <v>0</v>
      </c>
      <c r="Q54" s="267" t="str">
        <f>AU!C52</f>
        <v xml:space="preserve"> - </v>
      </c>
      <c r="R54" s="268" t="str">
        <f>IF(AU!F52=0,"",AU!F52)</f>
        <v/>
      </c>
      <c r="S54" s="263" t="str">
        <f>AU!N52</f>
        <v/>
      </c>
      <c r="T54" s="264" t="str">
        <f>AU!Q52</f>
        <v/>
      </c>
      <c r="U54" s="265" t="str">
        <f>AU!T52</f>
        <v/>
      </c>
      <c r="V54" s="264" t="str">
        <f>AU!W52</f>
        <v/>
      </c>
      <c r="W54" s="264" t="str">
        <f>AU!Z52</f>
        <v/>
      </c>
      <c r="X54" s="264" t="str">
        <f>AU!AC52</f>
        <v/>
      </c>
      <c r="Y54" s="264" t="str">
        <f>AU!AF52</f>
        <v/>
      </c>
      <c r="Z54" s="264" t="str">
        <f>AU!AI52</f>
        <v/>
      </c>
      <c r="AA54" s="264" t="str">
        <f>AU!AL52</f>
        <v/>
      </c>
      <c r="AB54" s="264" t="str">
        <f>AU!AO52</f>
        <v/>
      </c>
      <c r="AC54" s="271">
        <f t="shared" si="8"/>
        <v>0</v>
      </c>
    </row>
    <row r="55" spans="2:29" hidden="1" outlineLevel="2" x14ac:dyDescent="0.2">
      <c r="B55" s="151" t="str">
        <f>AU!C35</f>
        <v xml:space="preserve"> - </v>
      </c>
      <c r="C55" s="152" t="str">
        <f>IF(AU!F35=0,"",AU!F35)</f>
        <v/>
      </c>
      <c r="D55" s="148" t="str">
        <f>AU!N35</f>
        <v/>
      </c>
      <c r="E55" s="149" t="str">
        <f>AU!Q35</f>
        <v/>
      </c>
      <c r="F55" s="149" t="str">
        <f>AU!T35</f>
        <v/>
      </c>
      <c r="G55" s="149" t="str">
        <f>AU!W35</f>
        <v/>
      </c>
      <c r="H55" s="149" t="str">
        <f>AU!Z35</f>
        <v/>
      </c>
      <c r="I55" s="149" t="str">
        <f>AU!AC35</f>
        <v/>
      </c>
      <c r="J55" s="149" t="str">
        <f>AU!AF35</f>
        <v/>
      </c>
      <c r="K55" s="149" t="str">
        <f>AU!AI35</f>
        <v/>
      </c>
      <c r="L55" s="149" t="str">
        <f>AU!AL35</f>
        <v/>
      </c>
      <c r="M55" s="149" t="str">
        <f>AU!AO35</f>
        <v/>
      </c>
      <c r="N55" s="150">
        <f t="shared" si="7"/>
        <v>0</v>
      </c>
      <c r="Q55" s="267" t="str">
        <f>AU!C53</f>
        <v xml:space="preserve"> - </v>
      </c>
      <c r="R55" s="268" t="str">
        <f>IF(AU!F53=0,"",AU!F53)</f>
        <v/>
      </c>
      <c r="S55" s="263" t="str">
        <f>AU!N53</f>
        <v/>
      </c>
      <c r="T55" s="264" t="str">
        <f>AU!Q53</f>
        <v/>
      </c>
      <c r="U55" s="265" t="str">
        <f>AU!T53</f>
        <v/>
      </c>
      <c r="V55" s="264" t="str">
        <f>AU!W53</f>
        <v/>
      </c>
      <c r="W55" s="264" t="str">
        <f>AU!Z53</f>
        <v/>
      </c>
      <c r="X55" s="264" t="str">
        <f>AU!AC53</f>
        <v/>
      </c>
      <c r="Y55" s="264" t="str">
        <f>AU!AF53</f>
        <v/>
      </c>
      <c r="Z55" s="264" t="str">
        <f>AU!AI53</f>
        <v/>
      </c>
      <c r="AA55" s="264" t="str">
        <f>AU!AL53</f>
        <v/>
      </c>
      <c r="AB55" s="264" t="str">
        <f>AU!AO53</f>
        <v/>
      </c>
      <c r="AC55" s="271">
        <f t="shared" si="8"/>
        <v>0</v>
      </c>
    </row>
    <row r="56" spans="2:29" outlineLevel="1" collapsed="1" x14ac:dyDescent="0.2">
      <c r="B56" s="529" t="str">
        <f>AU!C55&amp;" Salary costs"</f>
        <v>1. TAP Salary costs</v>
      </c>
      <c r="C56" s="530"/>
      <c r="D56" s="531"/>
      <c r="E56" s="531"/>
      <c r="F56" s="531"/>
      <c r="G56" s="531"/>
      <c r="H56" s="531"/>
      <c r="I56" s="531"/>
      <c r="J56" s="531"/>
      <c r="K56" s="531"/>
      <c r="L56" s="531"/>
      <c r="M56" s="531"/>
      <c r="N56" s="532"/>
      <c r="Q56" s="259" t="str">
        <f>B56</f>
        <v>1. TAP Salary costs</v>
      </c>
      <c r="R56" s="260"/>
      <c r="S56" s="325"/>
      <c r="T56" s="325"/>
      <c r="U56" s="325"/>
      <c r="V56" s="325"/>
      <c r="W56" s="325"/>
      <c r="X56" s="325"/>
      <c r="Y56" s="325"/>
      <c r="Z56" s="325"/>
      <c r="AA56" s="325"/>
      <c r="AB56" s="325"/>
      <c r="AC56" s="328"/>
    </row>
    <row r="57" spans="2:29" outlineLevel="1" x14ac:dyDescent="0.2">
      <c r="B57" s="146" t="str">
        <f>AU!C56</f>
        <v>AC staff et al.</v>
      </c>
      <c r="C57" s="161" t="str">
        <f>IF(AU!F56=0,"",AU!F56)</f>
        <v/>
      </c>
      <c r="D57" s="148">
        <f>AU!N56</f>
        <v>0</v>
      </c>
      <c r="E57" s="149">
        <f>AU!Q56</f>
        <v>0</v>
      </c>
      <c r="F57" s="149">
        <f>AU!T56</f>
        <v>0</v>
      </c>
      <c r="G57" s="149">
        <f>AU!W56</f>
        <v>0</v>
      </c>
      <c r="H57" s="149">
        <f>AU!Z56</f>
        <v>0</v>
      </c>
      <c r="I57" s="149">
        <f>AU!AC56</f>
        <v>0</v>
      </c>
      <c r="J57" s="149">
        <f>AU!AF56</f>
        <v>0</v>
      </c>
      <c r="K57" s="149">
        <f>AU!AI56</f>
        <v>0</v>
      </c>
      <c r="L57" s="149">
        <f>AU!AL56</f>
        <v>0</v>
      </c>
      <c r="M57" s="149">
        <f>AU!AO56</f>
        <v>0</v>
      </c>
      <c r="N57" s="155">
        <f>SUM(D57:M57)</f>
        <v>0</v>
      </c>
      <c r="Q57" s="267" t="str">
        <f>AU!C74</f>
        <v xml:space="preserve"> - </v>
      </c>
      <c r="R57" s="268" t="str">
        <f>IF(AU!F74=0,"",AU!F74)</f>
        <v/>
      </c>
      <c r="S57" s="269" t="str">
        <f>AU!N74</f>
        <v/>
      </c>
      <c r="T57" s="270" t="str">
        <f>AU!Q74</f>
        <v/>
      </c>
      <c r="U57" s="335" t="str">
        <f>AU!T74</f>
        <v/>
      </c>
      <c r="V57" s="270" t="str">
        <f>AU!W74</f>
        <v/>
      </c>
      <c r="W57" s="270" t="str">
        <f>AU!Z74</f>
        <v/>
      </c>
      <c r="X57" s="270" t="str">
        <f>AU!AC74</f>
        <v/>
      </c>
      <c r="Y57" s="270" t="str">
        <f>AU!AF74</f>
        <v/>
      </c>
      <c r="Z57" s="270" t="str">
        <f>AU!AI74</f>
        <v/>
      </c>
      <c r="AA57" s="270" t="str">
        <f>AU!AL74</f>
        <v/>
      </c>
      <c r="AB57" s="336" t="str">
        <f>AU!AO74</f>
        <v/>
      </c>
      <c r="AC57" s="271">
        <f t="shared" ref="AC57:AC72" si="9">SUM(S57:AB57)</f>
        <v>0</v>
      </c>
    </row>
    <row r="58" spans="2:29" outlineLevel="1" x14ac:dyDescent="0.2">
      <c r="B58" s="151" t="str">
        <f>AU!C57</f>
        <v xml:space="preserve"> - </v>
      </c>
      <c r="C58" s="162" t="str">
        <f>IF(AU!F57=0,"",AU!F57)</f>
        <v/>
      </c>
      <c r="D58" s="148" t="str">
        <f>AU!N57</f>
        <v/>
      </c>
      <c r="E58" s="149" t="str">
        <f>AU!Q57</f>
        <v/>
      </c>
      <c r="F58" s="149" t="str">
        <f>AU!T57</f>
        <v/>
      </c>
      <c r="G58" s="149" t="str">
        <f>AU!W57</f>
        <v/>
      </c>
      <c r="H58" s="149" t="str">
        <f>AU!Z57</f>
        <v/>
      </c>
      <c r="I58" s="149" t="str">
        <f>AU!AC57</f>
        <v/>
      </c>
      <c r="J58" s="149" t="str">
        <f>AU!AF57</f>
        <v/>
      </c>
      <c r="K58" s="149" t="str">
        <f>AU!AI57</f>
        <v/>
      </c>
      <c r="L58" s="149" t="str">
        <f>AU!AL57</f>
        <v/>
      </c>
      <c r="M58" s="149" t="str">
        <f>AU!AO57</f>
        <v/>
      </c>
      <c r="N58" s="155">
        <f t="shared" ref="N58:N72" si="10">SUM(D58:M58)</f>
        <v>0</v>
      </c>
      <c r="Q58" s="267" t="str">
        <f>AU!C75</f>
        <v xml:space="preserve"> - </v>
      </c>
      <c r="R58" s="268" t="str">
        <f>IF(AU!F75=0,"",AU!F75)</f>
        <v/>
      </c>
      <c r="S58" s="263" t="str">
        <f>AU!N75</f>
        <v/>
      </c>
      <c r="T58" s="264" t="str">
        <f>AU!Q75</f>
        <v/>
      </c>
      <c r="U58" s="265" t="str">
        <f>AU!T75</f>
        <v/>
      </c>
      <c r="V58" s="264" t="str">
        <f>AU!W75</f>
        <v/>
      </c>
      <c r="W58" s="264" t="str">
        <f>AU!Z75</f>
        <v/>
      </c>
      <c r="X58" s="264" t="str">
        <f>AU!AC75</f>
        <v/>
      </c>
      <c r="Y58" s="264" t="str">
        <f>AU!AF75</f>
        <v/>
      </c>
      <c r="Z58" s="264" t="str">
        <f>AU!AI75</f>
        <v/>
      </c>
      <c r="AA58" s="264" t="str">
        <f>AU!AL75</f>
        <v/>
      </c>
      <c r="AB58" s="337" t="str">
        <f>AU!AO75</f>
        <v/>
      </c>
      <c r="AC58" s="271">
        <f t="shared" si="9"/>
        <v>0</v>
      </c>
    </row>
    <row r="59" spans="2:29" outlineLevel="1" x14ac:dyDescent="0.2">
      <c r="B59" s="151" t="str">
        <f>AU!C58</f>
        <v xml:space="preserve"> - </v>
      </c>
      <c r="C59" s="162" t="str">
        <f>IF(AU!F58=0,"",AU!F58)</f>
        <v/>
      </c>
      <c r="D59" s="148" t="str">
        <f>AU!N58</f>
        <v/>
      </c>
      <c r="E59" s="149" t="str">
        <f>AU!Q58</f>
        <v/>
      </c>
      <c r="F59" s="149" t="str">
        <f>AU!T58</f>
        <v/>
      </c>
      <c r="G59" s="149" t="str">
        <f>AU!W58</f>
        <v/>
      </c>
      <c r="H59" s="149" t="str">
        <f>AU!Z58</f>
        <v/>
      </c>
      <c r="I59" s="149" t="str">
        <f>AU!AC58</f>
        <v/>
      </c>
      <c r="J59" s="149" t="str">
        <f>AU!AF58</f>
        <v/>
      </c>
      <c r="K59" s="149" t="str">
        <f>AU!AI58</f>
        <v/>
      </c>
      <c r="L59" s="149" t="str">
        <f>AU!AL58</f>
        <v/>
      </c>
      <c r="M59" s="149" t="str">
        <f>AU!AO58</f>
        <v/>
      </c>
      <c r="N59" s="155">
        <f t="shared" si="10"/>
        <v>0</v>
      </c>
      <c r="Q59" s="267" t="str">
        <f>AU!C76</f>
        <v xml:space="preserve"> - </v>
      </c>
      <c r="R59" s="268" t="str">
        <f>IF(AU!F76=0,"",AU!F76)</f>
        <v/>
      </c>
      <c r="S59" s="263" t="str">
        <f>AU!N76</f>
        <v/>
      </c>
      <c r="T59" s="264" t="str">
        <f>AU!Q76</f>
        <v/>
      </c>
      <c r="U59" s="265" t="str">
        <f>AU!T76</f>
        <v/>
      </c>
      <c r="V59" s="264" t="str">
        <f>AU!W76</f>
        <v/>
      </c>
      <c r="W59" s="264" t="str">
        <f>AU!Z76</f>
        <v/>
      </c>
      <c r="X59" s="264" t="str">
        <f>AU!AC76</f>
        <v/>
      </c>
      <c r="Y59" s="264" t="str">
        <f>AU!AF76</f>
        <v/>
      </c>
      <c r="Z59" s="264" t="str">
        <f>AU!AI76</f>
        <v/>
      </c>
      <c r="AA59" s="264" t="str">
        <f>AU!AL76</f>
        <v/>
      </c>
      <c r="AB59" s="337" t="str">
        <f>AU!AO76</f>
        <v/>
      </c>
      <c r="AC59" s="271">
        <f t="shared" si="9"/>
        <v>0</v>
      </c>
    </row>
    <row r="60" spans="2:29" outlineLevel="1" x14ac:dyDescent="0.2">
      <c r="B60" s="151" t="str">
        <f>AU!C59</f>
        <v xml:space="preserve"> - </v>
      </c>
      <c r="C60" s="162" t="str">
        <f>IF(AU!F59=0,"",AU!F59)</f>
        <v/>
      </c>
      <c r="D60" s="148" t="str">
        <f>AU!N59</f>
        <v/>
      </c>
      <c r="E60" s="149" t="str">
        <f>AU!Q59</f>
        <v/>
      </c>
      <c r="F60" s="149" t="str">
        <f>AU!T59</f>
        <v/>
      </c>
      <c r="G60" s="149" t="str">
        <f>AU!W59</f>
        <v/>
      </c>
      <c r="H60" s="149" t="str">
        <f>AU!Z59</f>
        <v/>
      </c>
      <c r="I60" s="149" t="str">
        <f>AU!AC59</f>
        <v/>
      </c>
      <c r="J60" s="149" t="str">
        <f>AU!AF59</f>
        <v/>
      </c>
      <c r="K60" s="149" t="str">
        <f>AU!AI59</f>
        <v/>
      </c>
      <c r="L60" s="149" t="str">
        <f>AU!AL59</f>
        <v/>
      </c>
      <c r="M60" s="149" t="str">
        <f>AU!AO59</f>
        <v/>
      </c>
      <c r="N60" s="155">
        <f t="shared" si="10"/>
        <v>0</v>
      </c>
      <c r="Q60" s="267" t="str">
        <f>AU!C77</f>
        <v xml:space="preserve"> - </v>
      </c>
      <c r="R60" s="268" t="str">
        <f>IF(AU!F77=0,"",AU!F77)</f>
        <v/>
      </c>
      <c r="S60" s="263" t="str">
        <f>AU!N77</f>
        <v/>
      </c>
      <c r="T60" s="264" t="str">
        <f>AU!Q77</f>
        <v/>
      </c>
      <c r="U60" s="265" t="str">
        <f>AU!T77</f>
        <v/>
      </c>
      <c r="V60" s="264" t="str">
        <f>AU!W77</f>
        <v/>
      </c>
      <c r="W60" s="264" t="str">
        <f>AU!Z77</f>
        <v/>
      </c>
      <c r="X60" s="264" t="str">
        <f>AU!AC77</f>
        <v/>
      </c>
      <c r="Y60" s="264" t="str">
        <f>AU!AF77</f>
        <v/>
      </c>
      <c r="Z60" s="264" t="str">
        <f>AU!AI77</f>
        <v/>
      </c>
      <c r="AA60" s="264" t="str">
        <f>AU!AL77</f>
        <v/>
      </c>
      <c r="AB60" s="337" t="str">
        <f>AU!AO77</f>
        <v/>
      </c>
      <c r="AC60" s="271">
        <f t="shared" si="9"/>
        <v>0</v>
      </c>
    </row>
    <row r="61" spans="2:29" ht="16" outlineLevel="1" thickBot="1" x14ac:dyDescent="0.25">
      <c r="B61" s="151" t="str">
        <f>AU!C60</f>
        <v xml:space="preserve"> - </v>
      </c>
      <c r="C61" s="162" t="str">
        <f>IF(AU!F60=0,"",AU!F60)</f>
        <v/>
      </c>
      <c r="D61" s="148" t="str">
        <f>AU!N60</f>
        <v/>
      </c>
      <c r="E61" s="149" t="str">
        <f>AU!Q60</f>
        <v/>
      </c>
      <c r="F61" s="149" t="str">
        <f>AU!T60</f>
        <v/>
      </c>
      <c r="G61" s="149" t="str">
        <f>AU!W60</f>
        <v/>
      </c>
      <c r="H61" s="149" t="str">
        <f>AU!Z60</f>
        <v/>
      </c>
      <c r="I61" s="149" t="str">
        <f>AU!AC60</f>
        <v/>
      </c>
      <c r="J61" s="149" t="str">
        <f>AU!AF60</f>
        <v/>
      </c>
      <c r="K61" s="149" t="str">
        <f>AU!AI60</f>
        <v/>
      </c>
      <c r="L61" s="149" t="str">
        <f>AU!AL60</f>
        <v/>
      </c>
      <c r="M61" s="149" t="str">
        <f>AU!AO60</f>
        <v/>
      </c>
      <c r="N61" s="155">
        <f t="shared" si="10"/>
        <v>0</v>
      </c>
      <c r="Q61" s="267" t="str">
        <f>AU!C78</f>
        <v xml:space="preserve"> - </v>
      </c>
      <c r="R61" s="268" t="str">
        <f>IF(AU!F78=0,"",AU!F78)</f>
        <v/>
      </c>
      <c r="S61" s="263" t="str">
        <f>AU!N78</f>
        <v/>
      </c>
      <c r="T61" s="264" t="str">
        <f>AU!Q78</f>
        <v/>
      </c>
      <c r="U61" s="265" t="str">
        <f>AU!T78</f>
        <v/>
      </c>
      <c r="V61" s="264" t="str">
        <f>AU!W78</f>
        <v/>
      </c>
      <c r="W61" s="264" t="str">
        <f>AU!Z78</f>
        <v/>
      </c>
      <c r="X61" s="264" t="str">
        <f>AU!AC78</f>
        <v/>
      </c>
      <c r="Y61" s="264" t="str">
        <f>AU!AF78</f>
        <v/>
      </c>
      <c r="Z61" s="264" t="str">
        <f>AU!AI78</f>
        <v/>
      </c>
      <c r="AA61" s="264" t="str">
        <f>AU!AL78</f>
        <v/>
      </c>
      <c r="AB61" s="337" t="str">
        <f>AU!AO78</f>
        <v/>
      </c>
      <c r="AC61" s="271">
        <f t="shared" si="9"/>
        <v>0</v>
      </c>
    </row>
    <row r="62" spans="2:29" hidden="1" outlineLevel="2" x14ac:dyDescent="0.2">
      <c r="B62" s="151" t="str">
        <f>AU!C61</f>
        <v xml:space="preserve"> - </v>
      </c>
      <c r="C62" s="162" t="str">
        <f>IF(AU!F61=0,"",AU!F61)</f>
        <v/>
      </c>
      <c r="D62" s="148" t="str">
        <f>AU!N61</f>
        <v/>
      </c>
      <c r="E62" s="149" t="str">
        <f>AU!Q61</f>
        <v/>
      </c>
      <c r="F62" s="149" t="str">
        <f>AU!T61</f>
        <v/>
      </c>
      <c r="G62" s="149" t="str">
        <f>AU!W61</f>
        <v/>
      </c>
      <c r="H62" s="149" t="str">
        <f>AU!Z61</f>
        <v/>
      </c>
      <c r="I62" s="149" t="str">
        <f>AU!AC61</f>
        <v/>
      </c>
      <c r="J62" s="149" t="str">
        <f>AU!AF61</f>
        <v/>
      </c>
      <c r="K62" s="149" t="str">
        <f>AU!AI61</f>
        <v/>
      </c>
      <c r="L62" s="149" t="str">
        <f>AU!AL61</f>
        <v/>
      </c>
      <c r="M62" s="149" t="str">
        <f>AU!AO61</f>
        <v/>
      </c>
      <c r="N62" s="155">
        <f t="shared" si="10"/>
        <v>0</v>
      </c>
      <c r="Q62" s="267" t="str">
        <f>AU!C79</f>
        <v xml:space="preserve"> - </v>
      </c>
      <c r="R62" s="268" t="str">
        <f>IF(AU!F79=0,"",AU!F79)</f>
        <v/>
      </c>
      <c r="S62" s="263" t="str">
        <f>AU!N79</f>
        <v/>
      </c>
      <c r="T62" s="264" t="str">
        <f>AU!Q79</f>
        <v/>
      </c>
      <c r="U62" s="265" t="str">
        <f>AU!T79</f>
        <v/>
      </c>
      <c r="V62" s="264" t="str">
        <f>AU!W79</f>
        <v/>
      </c>
      <c r="W62" s="264" t="str">
        <f>AU!Z79</f>
        <v/>
      </c>
      <c r="X62" s="264" t="str">
        <f>AU!AC79</f>
        <v/>
      </c>
      <c r="Y62" s="264" t="str">
        <f>AU!AF79</f>
        <v/>
      </c>
      <c r="Z62" s="264" t="str">
        <f>AU!AI79</f>
        <v/>
      </c>
      <c r="AA62" s="264" t="str">
        <f>AU!AL79</f>
        <v/>
      </c>
      <c r="AB62" s="337" t="str">
        <f>AU!AO79</f>
        <v/>
      </c>
      <c r="AC62" s="271">
        <f t="shared" si="9"/>
        <v>0</v>
      </c>
    </row>
    <row r="63" spans="2:29" hidden="1" outlineLevel="2" x14ac:dyDescent="0.2">
      <c r="B63" s="151" t="str">
        <f>AU!C62</f>
        <v xml:space="preserve"> - </v>
      </c>
      <c r="C63" s="162" t="str">
        <f>IF(AU!F62=0,"",AU!F62)</f>
        <v/>
      </c>
      <c r="D63" s="148" t="str">
        <f>AU!N62</f>
        <v/>
      </c>
      <c r="E63" s="149" t="str">
        <f>AU!Q62</f>
        <v/>
      </c>
      <c r="F63" s="149" t="str">
        <f>AU!T62</f>
        <v/>
      </c>
      <c r="G63" s="149" t="str">
        <f>AU!W62</f>
        <v/>
      </c>
      <c r="H63" s="149" t="str">
        <f>AU!Z62</f>
        <v/>
      </c>
      <c r="I63" s="149" t="str">
        <f>AU!AC62</f>
        <v/>
      </c>
      <c r="J63" s="149" t="str">
        <f>AU!AF62</f>
        <v/>
      </c>
      <c r="K63" s="149" t="str">
        <f>AU!AI62</f>
        <v/>
      </c>
      <c r="L63" s="149" t="str">
        <f>AU!AL62</f>
        <v/>
      </c>
      <c r="M63" s="149" t="str">
        <f>AU!AO62</f>
        <v/>
      </c>
      <c r="N63" s="155">
        <f t="shared" si="10"/>
        <v>0</v>
      </c>
      <c r="Q63" s="267" t="str">
        <f>AU!C80</f>
        <v xml:space="preserve"> - </v>
      </c>
      <c r="R63" s="268" t="str">
        <f>IF(AU!F80=0,"",AU!F80)</f>
        <v/>
      </c>
      <c r="S63" s="263" t="str">
        <f>AU!N80</f>
        <v/>
      </c>
      <c r="T63" s="264" t="str">
        <f>AU!Q80</f>
        <v/>
      </c>
      <c r="U63" s="265" t="str">
        <f>AU!T80</f>
        <v/>
      </c>
      <c r="V63" s="264" t="str">
        <f>AU!W80</f>
        <v/>
      </c>
      <c r="W63" s="264" t="str">
        <f>AU!Z80</f>
        <v/>
      </c>
      <c r="X63" s="264" t="str">
        <f>AU!AC80</f>
        <v/>
      </c>
      <c r="Y63" s="264" t="str">
        <f>AU!AF80</f>
        <v/>
      </c>
      <c r="Z63" s="264" t="str">
        <f>AU!AI80</f>
        <v/>
      </c>
      <c r="AA63" s="264" t="str">
        <f>AU!AL80</f>
        <v/>
      </c>
      <c r="AB63" s="337" t="str">
        <f>AU!AO80</f>
        <v/>
      </c>
      <c r="AC63" s="271">
        <f t="shared" si="9"/>
        <v>0</v>
      </c>
    </row>
    <row r="64" spans="2:29" hidden="1" outlineLevel="2" x14ac:dyDescent="0.2">
      <c r="B64" s="151" t="str">
        <f>AU!C63</f>
        <v xml:space="preserve"> - </v>
      </c>
      <c r="C64" s="162" t="str">
        <f>IF(AU!F63=0,"",AU!F63)</f>
        <v/>
      </c>
      <c r="D64" s="148" t="str">
        <f>AU!N63</f>
        <v/>
      </c>
      <c r="E64" s="149" t="str">
        <f>AU!Q63</f>
        <v/>
      </c>
      <c r="F64" s="149" t="str">
        <f>AU!T63</f>
        <v/>
      </c>
      <c r="G64" s="149" t="str">
        <f>AU!W63</f>
        <v/>
      </c>
      <c r="H64" s="149" t="str">
        <f>AU!Z63</f>
        <v/>
      </c>
      <c r="I64" s="149" t="str">
        <f>AU!AC63</f>
        <v/>
      </c>
      <c r="J64" s="149" t="str">
        <f>AU!AF63</f>
        <v/>
      </c>
      <c r="K64" s="149" t="str">
        <f>AU!AI63</f>
        <v/>
      </c>
      <c r="L64" s="149" t="str">
        <f>AU!AL63</f>
        <v/>
      </c>
      <c r="M64" s="149" t="str">
        <f>AU!AO63</f>
        <v/>
      </c>
      <c r="N64" s="155">
        <f t="shared" si="10"/>
        <v>0</v>
      </c>
      <c r="Q64" s="267" t="str">
        <f>AU!C81</f>
        <v xml:space="preserve"> - </v>
      </c>
      <c r="R64" s="268" t="str">
        <f>IF(AU!F81=0,"",AU!F81)</f>
        <v/>
      </c>
      <c r="S64" s="263" t="str">
        <f>AU!N81</f>
        <v/>
      </c>
      <c r="T64" s="264" t="str">
        <f>AU!Q81</f>
        <v/>
      </c>
      <c r="U64" s="265" t="str">
        <f>AU!T81</f>
        <v/>
      </c>
      <c r="V64" s="264" t="str">
        <f>AU!W81</f>
        <v/>
      </c>
      <c r="W64" s="264" t="str">
        <f>AU!Z81</f>
        <v/>
      </c>
      <c r="X64" s="264" t="str">
        <f>AU!AC81</f>
        <v/>
      </c>
      <c r="Y64" s="264" t="str">
        <f>AU!AF81</f>
        <v/>
      </c>
      <c r="Z64" s="264" t="str">
        <f>AU!AI81</f>
        <v/>
      </c>
      <c r="AA64" s="264" t="str">
        <f>AU!AL81</f>
        <v/>
      </c>
      <c r="AB64" s="337" t="str">
        <f>AU!AO81</f>
        <v/>
      </c>
      <c r="AC64" s="271">
        <f t="shared" si="9"/>
        <v>0</v>
      </c>
    </row>
    <row r="65" spans="2:29" hidden="1" outlineLevel="2" x14ac:dyDescent="0.2">
      <c r="B65" s="151" t="str">
        <f>AU!C64</f>
        <v xml:space="preserve"> - </v>
      </c>
      <c r="C65" s="162" t="str">
        <f>IF(AU!F64=0,"",AU!F64)</f>
        <v/>
      </c>
      <c r="D65" s="148" t="str">
        <f>AU!N64</f>
        <v/>
      </c>
      <c r="E65" s="149" t="str">
        <f>AU!Q64</f>
        <v/>
      </c>
      <c r="F65" s="149" t="str">
        <f>AU!T64</f>
        <v/>
      </c>
      <c r="G65" s="149" t="str">
        <f>AU!W64</f>
        <v/>
      </c>
      <c r="H65" s="149" t="str">
        <f>AU!Z64</f>
        <v/>
      </c>
      <c r="I65" s="149" t="str">
        <f>AU!AC64</f>
        <v/>
      </c>
      <c r="J65" s="149" t="str">
        <f>AU!AF64</f>
        <v/>
      </c>
      <c r="K65" s="149" t="str">
        <f>AU!AI64</f>
        <v/>
      </c>
      <c r="L65" s="149" t="str">
        <f>AU!AL64</f>
        <v/>
      </c>
      <c r="M65" s="149" t="str">
        <f>AU!AO64</f>
        <v/>
      </c>
      <c r="N65" s="155">
        <f t="shared" si="10"/>
        <v>0</v>
      </c>
      <c r="Q65" s="267" t="str">
        <f>AU!C82</f>
        <v xml:space="preserve"> - </v>
      </c>
      <c r="R65" s="268" t="str">
        <f>IF(AU!F82=0,"",AU!F82)</f>
        <v/>
      </c>
      <c r="S65" s="263" t="str">
        <f>AU!N82</f>
        <v/>
      </c>
      <c r="T65" s="264" t="str">
        <f>AU!Q82</f>
        <v/>
      </c>
      <c r="U65" s="265" t="str">
        <f>AU!T82</f>
        <v/>
      </c>
      <c r="V65" s="264" t="str">
        <f>AU!W82</f>
        <v/>
      </c>
      <c r="W65" s="264" t="str">
        <f>AU!Z82</f>
        <v/>
      </c>
      <c r="X65" s="264" t="str">
        <f>AU!AC82</f>
        <v/>
      </c>
      <c r="Y65" s="264" t="str">
        <f>AU!AF82</f>
        <v/>
      </c>
      <c r="Z65" s="264" t="str">
        <f>AU!AI82</f>
        <v/>
      </c>
      <c r="AA65" s="264" t="str">
        <f>AU!AL82</f>
        <v/>
      </c>
      <c r="AB65" s="337" t="str">
        <f>AU!AO82</f>
        <v/>
      </c>
      <c r="AC65" s="271">
        <f t="shared" si="9"/>
        <v>0</v>
      </c>
    </row>
    <row r="66" spans="2:29" hidden="1" outlineLevel="2" x14ac:dyDescent="0.2">
      <c r="B66" s="151" t="str">
        <f>AU!C65</f>
        <v xml:space="preserve"> - </v>
      </c>
      <c r="C66" s="162" t="str">
        <f>IF(AU!F65=0,"",AU!F65)</f>
        <v/>
      </c>
      <c r="D66" s="148" t="str">
        <f>AU!N65</f>
        <v/>
      </c>
      <c r="E66" s="149" t="str">
        <f>AU!Q65</f>
        <v/>
      </c>
      <c r="F66" s="149" t="str">
        <f>AU!T65</f>
        <v/>
      </c>
      <c r="G66" s="149" t="str">
        <f>AU!W65</f>
        <v/>
      </c>
      <c r="H66" s="149" t="str">
        <f>AU!Z65</f>
        <v/>
      </c>
      <c r="I66" s="149" t="str">
        <f>AU!AC65</f>
        <v/>
      </c>
      <c r="J66" s="149" t="str">
        <f>AU!AF65</f>
        <v/>
      </c>
      <c r="K66" s="149" t="str">
        <f>AU!AI65</f>
        <v/>
      </c>
      <c r="L66" s="149" t="str">
        <f>AU!AL65</f>
        <v/>
      </c>
      <c r="M66" s="149" t="str">
        <f>AU!AO65</f>
        <v/>
      </c>
      <c r="N66" s="155">
        <f t="shared" si="10"/>
        <v>0</v>
      </c>
      <c r="Q66" s="267" t="str">
        <f>AU!C83</f>
        <v xml:space="preserve"> - </v>
      </c>
      <c r="R66" s="268" t="str">
        <f>IF(AU!F83=0,"",AU!F83)</f>
        <v/>
      </c>
      <c r="S66" s="263" t="str">
        <f>AU!N83</f>
        <v/>
      </c>
      <c r="T66" s="264" t="str">
        <f>AU!Q83</f>
        <v/>
      </c>
      <c r="U66" s="265" t="str">
        <f>AU!T83</f>
        <v/>
      </c>
      <c r="V66" s="264" t="str">
        <f>AU!W83</f>
        <v/>
      </c>
      <c r="W66" s="264" t="str">
        <f>AU!Z83</f>
        <v/>
      </c>
      <c r="X66" s="264" t="str">
        <f>AU!AC83</f>
        <v/>
      </c>
      <c r="Y66" s="264" t="str">
        <f>AU!AF83</f>
        <v/>
      </c>
      <c r="Z66" s="264" t="str">
        <f>AU!AI83</f>
        <v/>
      </c>
      <c r="AA66" s="264" t="str">
        <f>AU!AL83</f>
        <v/>
      </c>
      <c r="AB66" s="337" t="str">
        <f>AU!AO83</f>
        <v/>
      </c>
      <c r="AC66" s="271">
        <f t="shared" si="9"/>
        <v>0</v>
      </c>
    </row>
    <row r="67" spans="2:29" hidden="1" outlineLevel="2" x14ac:dyDescent="0.2">
      <c r="B67" s="151" t="str">
        <f>AU!C66</f>
        <v xml:space="preserve"> - </v>
      </c>
      <c r="C67" s="162" t="str">
        <f>IF(AU!F66=0,"",AU!F66)</f>
        <v/>
      </c>
      <c r="D67" s="148" t="str">
        <f>AU!N66</f>
        <v/>
      </c>
      <c r="E67" s="149" t="str">
        <f>AU!Q66</f>
        <v/>
      </c>
      <c r="F67" s="149" t="str">
        <f>AU!T66</f>
        <v/>
      </c>
      <c r="G67" s="149" t="str">
        <f>AU!W66</f>
        <v/>
      </c>
      <c r="H67" s="149" t="str">
        <f>AU!Z66</f>
        <v/>
      </c>
      <c r="I67" s="149" t="str">
        <f>AU!AC66</f>
        <v/>
      </c>
      <c r="J67" s="149" t="str">
        <f>AU!AF66</f>
        <v/>
      </c>
      <c r="K67" s="149" t="str">
        <f>AU!AI66</f>
        <v/>
      </c>
      <c r="L67" s="149" t="str">
        <f>AU!AL66</f>
        <v/>
      </c>
      <c r="M67" s="149" t="str">
        <f>AU!AO66</f>
        <v/>
      </c>
      <c r="N67" s="155">
        <f t="shared" si="10"/>
        <v>0</v>
      </c>
      <c r="Q67" s="267" t="str">
        <f>AU!C84</f>
        <v xml:space="preserve"> - </v>
      </c>
      <c r="R67" s="268" t="str">
        <f>IF(AU!F84=0,"",AU!F84)</f>
        <v/>
      </c>
      <c r="S67" s="263" t="str">
        <f>AU!N84</f>
        <v/>
      </c>
      <c r="T67" s="264" t="str">
        <f>AU!Q84</f>
        <v/>
      </c>
      <c r="U67" s="265" t="str">
        <f>AU!T84</f>
        <v/>
      </c>
      <c r="V67" s="264" t="str">
        <f>AU!W84</f>
        <v/>
      </c>
      <c r="W67" s="264" t="str">
        <f>AU!Z84</f>
        <v/>
      </c>
      <c r="X67" s="264" t="str">
        <f>AU!AC84</f>
        <v/>
      </c>
      <c r="Y67" s="264" t="str">
        <f>AU!AF84</f>
        <v/>
      </c>
      <c r="Z67" s="264" t="str">
        <f>AU!AI84</f>
        <v/>
      </c>
      <c r="AA67" s="264" t="str">
        <f>AU!AL84</f>
        <v/>
      </c>
      <c r="AB67" s="337" t="str">
        <f>AU!AO84</f>
        <v/>
      </c>
      <c r="AC67" s="271">
        <f t="shared" si="9"/>
        <v>0</v>
      </c>
    </row>
    <row r="68" spans="2:29" hidden="1" outlineLevel="2" x14ac:dyDescent="0.2">
      <c r="B68" s="151" t="str">
        <f>AU!C67</f>
        <v xml:space="preserve"> - </v>
      </c>
      <c r="C68" s="162" t="str">
        <f>IF(AU!F67=0,"",AU!F67)</f>
        <v/>
      </c>
      <c r="D68" s="148" t="str">
        <f>AU!N67</f>
        <v/>
      </c>
      <c r="E68" s="149" t="str">
        <f>AU!Q67</f>
        <v/>
      </c>
      <c r="F68" s="149" t="str">
        <f>AU!T67</f>
        <v/>
      </c>
      <c r="G68" s="149" t="str">
        <f>AU!W67</f>
        <v/>
      </c>
      <c r="H68" s="149" t="str">
        <f>AU!Z67</f>
        <v/>
      </c>
      <c r="I68" s="149" t="str">
        <f>AU!AC67</f>
        <v/>
      </c>
      <c r="J68" s="149" t="str">
        <f>AU!AF67</f>
        <v/>
      </c>
      <c r="K68" s="149" t="str">
        <f>AU!AI67</f>
        <v/>
      </c>
      <c r="L68" s="149" t="str">
        <f>AU!AL67</f>
        <v/>
      </c>
      <c r="M68" s="149" t="str">
        <f>AU!AO67</f>
        <v/>
      </c>
      <c r="N68" s="155">
        <f t="shared" si="10"/>
        <v>0</v>
      </c>
      <c r="Q68" s="267" t="str">
        <f>AU!C85</f>
        <v xml:space="preserve"> - </v>
      </c>
      <c r="R68" s="268" t="str">
        <f>IF(AU!F85=0,"",AU!F85)</f>
        <v/>
      </c>
      <c r="S68" s="263" t="str">
        <f>AU!N85</f>
        <v/>
      </c>
      <c r="T68" s="264" t="str">
        <f>AU!Q85</f>
        <v/>
      </c>
      <c r="U68" s="265" t="str">
        <f>AU!T85</f>
        <v/>
      </c>
      <c r="V68" s="264" t="str">
        <f>AU!W85</f>
        <v/>
      </c>
      <c r="W68" s="264" t="str">
        <f>AU!Z85</f>
        <v/>
      </c>
      <c r="X68" s="264" t="str">
        <f>AU!AC85</f>
        <v/>
      </c>
      <c r="Y68" s="264" t="str">
        <f>AU!AF85</f>
        <v/>
      </c>
      <c r="Z68" s="264" t="str">
        <f>AU!AI85</f>
        <v/>
      </c>
      <c r="AA68" s="264" t="str">
        <f>AU!AL85</f>
        <v/>
      </c>
      <c r="AB68" s="337" t="str">
        <f>AU!AO85</f>
        <v/>
      </c>
      <c r="AC68" s="271">
        <f t="shared" si="9"/>
        <v>0</v>
      </c>
    </row>
    <row r="69" spans="2:29" hidden="1" outlineLevel="2" x14ac:dyDescent="0.2">
      <c r="B69" s="151" t="str">
        <f>AU!C68</f>
        <v xml:space="preserve"> - </v>
      </c>
      <c r="C69" s="162" t="str">
        <f>IF(AU!F68=0,"",AU!F68)</f>
        <v/>
      </c>
      <c r="D69" s="148" t="str">
        <f>AU!N68</f>
        <v/>
      </c>
      <c r="E69" s="149" t="str">
        <f>AU!Q68</f>
        <v/>
      </c>
      <c r="F69" s="149" t="str">
        <f>AU!T68</f>
        <v/>
      </c>
      <c r="G69" s="149" t="str">
        <f>AU!W68</f>
        <v/>
      </c>
      <c r="H69" s="149" t="str">
        <f>AU!Z68</f>
        <v/>
      </c>
      <c r="I69" s="149" t="str">
        <f>AU!AC68</f>
        <v/>
      </c>
      <c r="J69" s="149" t="str">
        <f>AU!AF68</f>
        <v/>
      </c>
      <c r="K69" s="149" t="str">
        <f>AU!AI68</f>
        <v/>
      </c>
      <c r="L69" s="149" t="str">
        <f>AU!AL68</f>
        <v/>
      </c>
      <c r="M69" s="149" t="str">
        <f>AU!AO68</f>
        <v/>
      </c>
      <c r="N69" s="155">
        <f t="shared" si="10"/>
        <v>0</v>
      </c>
      <c r="Q69" s="267" t="str">
        <f>AU!C86</f>
        <v xml:space="preserve"> - </v>
      </c>
      <c r="R69" s="268" t="str">
        <f>IF(AU!F86=0,"",AU!F86)</f>
        <v/>
      </c>
      <c r="S69" s="263" t="str">
        <f>AU!N86</f>
        <v/>
      </c>
      <c r="T69" s="264" t="str">
        <f>AU!Q86</f>
        <v/>
      </c>
      <c r="U69" s="265" t="str">
        <f>AU!T86</f>
        <v/>
      </c>
      <c r="V69" s="264" t="str">
        <f>AU!W86</f>
        <v/>
      </c>
      <c r="W69" s="264" t="str">
        <f>AU!Z86</f>
        <v/>
      </c>
      <c r="X69" s="264" t="str">
        <f>AU!AC86</f>
        <v/>
      </c>
      <c r="Y69" s="264" t="str">
        <f>AU!AF86</f>
        <v/>
      </c>
      <c r="Z69" s="264" t="str">
        <f>AU!AI86</f>
        <v/>
      </c>
      <c r="AA69" s="264" t="str">
        <f>AU!AL86</f>
        <v/>
      </c>
      <c r="AB69" s="337" t="str">
        <f>AU!AO86</f>
        <v/>
      </c>
      <c r="AC69" s="271">
        <f t="shared" si="9"/>
        <v>0</v>
      </c>
    </row>
    <row r="70" spans="2:29" hidden="1" outlineLevel="2" x14ac:dyDescent="0.2">
      <c r="B70" s="151" t="str">
        <f>AU!C69</f>
        <v xml:space="preserve"> - </v>
      </c>
      <c r="C70" s="162" t="str">
        <f>IF(AU!F69=0,"",AU!F69)</f>
        <v/>
      </c>
      <c r="D70" s="148" t="str">
        <f>AU!N69</f>
        <v/>
      </c>
      <c r="E70" s="149" t="str">
        <f>AU!Q69</f>
        <v/>
      </c>
      <c r="F70" s="149" t="str">
        <f>AU!T69</f>
        <v/>
      </c>
      <c r="G70" s="149" t="str">
        <f>AU!W69</f>
        <v/>
      </c>
      <c r="H70" s="149" t="str">
        <f>AU!Z69</f>
        <v/>
      </c>
      <c r="I70" s="149" t="str">
        <f>AU!AC69</f>
        <v/>
      </c>
      <c r="J70" s="149" t="str">
        <f>AU!AF69</f>
        <v/>
      </c>
      <c r="K70" s="149" t="str">
        <f>AU!AI69</f>
        <v/>
      </c>
      <c r="L70" s="149" t="str">
        <f>AU!AL69</f>
        <v/>
      </c>
      <c r="M70" s="149" t="str">
        <f>AU!AO69</f>
        <v/>
      </c>
      <c r="N70" s="155">
        <f t="shared" si="10"/>
        <v>0</v>
      </c>
      <c r="Q70" s="267" t="str">
        <f>AU!C87</f>
        <v xml:space="preserve"> - </v>
      </c>
      <c r="R70" s="268" t="str">
        <f>IF(AU!F87=0,"",AU!F87)</f>
        <v/>
      </c>
      <c r="S70" s="263" t="str">
        <f>AU!N87</f>
        <v/>
      </c>
      <c r="T70" s="264" t="str">
        <f>AU!Q87</f>
        <v/>
      </c>
      <c r="U70" s="265" t="str">
        <f>AU!T87</f>
        <v/>
      </c>
      <c r="V70" s="264" t="str">
        <f>AU!W87</f>
        <v/>
      </c>
      <c r="W70" s="264" t="str">
        <f>AU!Z87</f>
        <v/>
      </c>
      <c r="X70" s="264" t="str">
        <f>AU!AC87</f>
        <v/>
      </c>
      <c r="Y70" s="264" t="str">
        <f>AU!AF87</f>
        <v/>
      </c>
      <c r="Z70" s="264" t="str">
        <f>AU!AI87</f>
        <v/>
      </c>
      <c r="AA70" s="264" t="str">
        <f>AU!AL87</f>
        <v/>
      </c>
      <c r="AB70" s="337" t="str">
        <f>AU!AO87</f>
        <v/>
      </c>
      <c r="AC70" s="271">
        <f t="shared" si="9"/>
        <v>0</v>
      </c>
    </row>
    <row r="71" spans="2:29" hidden="1" outlineLevel="2" x14ac:dyDescent="0.2">
      <c r="B71" s="151" t="str">
        <f>AU!C70</f>
        <v xml:space="preserve"> - </v>
      </c>
      <c r="C71" s="162" t="str">
        <f>IF(AU!F70=0,"",AU!F70)</f>
        <v/>
      </c>
      <c r="D71" s="148" t="str">
        <f>AU!N70</f>
        <v/>
      </c>
      <c r="E71" s="149" t="str">
        <f>AU!Q70</f>
        <v/>
      </c>
      <c r="F71" s="149" t="str">
        <f>AU!T70</f>
        <v/>
      </c>
      <c r="G71" s="149" t="str">
        <f>AU!W70</f>
        <v/>
      </c>
      <c r="H71" s="149" t="str">
        <f>AU!Z70</f>
        <v/>
      </c>
      <c r="I71" s="149" t="str">
        <f>AU!AC70</f>
        <v/>
      </c>
      <c r="J71" s="149" t="str">
        <f>AU!AF70</f>
        <v/>
      </c>
      <c r="K71" s="149" t="str">
        <f>AU!AI70</f>
        <v/>
      </c>
      <c r="L71" s="149" t="str">
        <f>AU!AL70</f>
        <v/>
      </c>
      <c r="M71" s="149" t="str">
        <f>AU!AO70</f>
        <v/>
      </c>
      <c r="N71" s="155">
        <f t="shared" si="10"/>
        <v>0</v>
      </c>
      <c r="Q71" s="267" t="str">
        <f>AU!C88</f>
        <v xml:space="preserve"> - </v>
      </c>
      <c r="R71" s="268" t="str">
        <f>IF(AU!F88=0,"",AU!F88)</f>
        <v/>
      </c>
      <c r="S71" s="263" t="str">
        <f>AU!N88</f>
        <v/>
      </c>
      <c r="T71" s="264" t="str">
        <f>AU!Q88</f>
        <v/>
      </c>
      <c r="U71" s="265" t="str">
        <f>AU!T88</f>
        <v/>
      </c>
      <c r="V71" s="264" t="str">
        <f>AU!W88</f>
        <v/>
      </c>
      <c r="W71" s="264" t="str">
        <f>AU!Z88</f>
        <v/>
      </c>
      <c r="X71" s="264" t="str">
        <f>AU!AC88</f>
        <v/>
      </c>
      <c r="Y71" s="264" t="str">
        <f>AU!AF88</f>
        <v/>
      </c>
      <c r="Z71" s="264" t="str">
        <f>AU!AI88</f>
        <v/>
      </c>
      <c r="AA71" s="264" t="str">
        <f>AU!AL88</f>
        <v/>
      </c>
      <c r="AB71" s="337" t="str">
        <f>AU!AO88</f>
        <v/>
      </c>
      <c r="AC71" s="271">
        <f t="shared" si="9"/>
        <v>0</v>
      </c>
    </row>
    <row r="72" spans="2:29" ht="16" hidden="1" outlineLevel="2" thickBot="1" x14ac:dyDescent="0.25">
      <c r="B72" s="164" t="str">
        <f>AU!C71</f>
        <v xml:space="preserve"> - </v>
      </c>
      <c r="C72" s="165" t="str">
        <f>IF(AU!F71=0,"",AU!F71)</f>
        <v/>
      </c>
      <c r="D72" s="166" t="str">
        <f>AU!N71</f>
        <v/>
      </c>
      <c r="E72" s="167" t="str">
        <f>AU!Q71</f>
        <v/>
      </c>
      <c r="F72" s="167" t="str">
        <f>AU!T71</f>
        <v/>
      </c>
      <c r="G72" s="167" t="str">
        <f>AU!W71</f>
        <v/>
      </c>
      <c r="H72" s="167" t="str">
        <f>AU!Z71</f>
        <v/>
      </c>
      <c r="I72" s="156" t="str">
        <f>AU!AC71</f>
        <v/>
      </c>
      <c r="J72" s="156" t="str">
        <f>AU!AF71</f>
        <v/>
      </c>
      <c r="K72" s="156" t="str">
        <f>AU!AI71</f>
        <v/>
      </c>
      <c r="L72" s="156" t="str">
        <f>AU!AL71</f>
        <v/>
      </c>
      <c r="M72" s="157" t="str">
        <f>AU!AO71</f>
        <v/>
      </c>
      <c r="N72" s="168">
        <f t="shared" si="10"/>
        <v>0</v>
      </c>
      <c r="Q72" s="267" t="str">
        <f>AU!C89</f>
        <v xml:space="preserve"> - </v>
      </c>
      <c r="R72" s="268" t="str">
        <f>IF(AU!F89=0,"",AU!F89)</f>
        <v/>
      </c>
      <c r="S72" s="695" t="str">
        <f>AU!N89</f>
        <v/>
      </c>
      <c r="T72" s="696" t="str">
        <f>AU!Q89</f>
        <v/>
      </c>
      <c r="U72" s="215" t="str">
        <f>AU!T89</f>
        <v/>
      </c>
      <c r="V72" s="696" t="str">
        <f>AU!W89</f>
        <v/>
      </c>
      <c r="W72" s="696" t="str">
        <f>AU!Z89</f>
        <v/>
      </c>
      <c r="X72" s="696" t="str">
        <f>AU!AC89</f>
        <v/>
      </c>
      <c r="Y72" s="334" t="str">
        <f>AU!AF89</f>
        <v/>
      </c>
      <c r="Z72" s="334" t="str">
        <f>AU!AI89</f>
        <v/>
      </c>
      <c r="AA72" s="334" t="str">
        <f>AU!AL89</f>
        <v/>
      </c>
      <c r="AB72" s="340" t="str">
        <f>AU!AO89</f>
        <v/>
      </c>
      <c r="AC72" s="271">
        <f t="shared" si="9"/>
        <v>0</v>
      </c>
    </row>
    <row r="73" spans="2:29" ht="16" outlineLevel="1" collapsed="1" thickBot="1" x14ac:dyDescent="0.25">
      <c r="B73" s="158" t="s">
        <v>120</v>
      </c>
      <c r="C73" s="159"/>
      <c r="D73" s="169">
        <f>SUM(D40:D72)</f>
        <v>929348.39999999991</v>
      </c>
      <c r="E73" s="170">
        <f t="shared" ref="E73:M73" si="11">SUM(E40:E72)</f>
        <v>1914457.7040000001</v>
      </c>
      <c r="F73" s="170">
        <f t="shared" si="11"/>
        <v>2606678.4039599998</v>
      </c>
      <c r="G73" s="170">
        <f t="shared" si="11"/>
        <v>2323185.2448971998</v>
      </c>
      <c r="H73" s="170">
        <f t="shared" si="11"/>
        <v>1346890.9904847117</v>
      </c>
      <c r="I73" s="170">
        <f>SUM(I40:I72)</f>
        <v>693648.86009962671</v>
      </c>
      <c r="J73" s="170">
        <f t="shared" si="11"/>
        <v>0</v>
      </c>
      <c r="K73" s="170">
        <f t="shared" si="11"/>
        <v>0</v>
      </c>
      <c r="L73" s="170">
        <f t="shared" si="11"/>
        <v>0</v>
      </c>
      <c r="M73" s="171">
        <f t="shared" si="11"/>
        <v>0</v>
      </c>
      <c r="N73" s="160">
        <f>SUM(N40:N72)</f>
        <v>9814209.6034415383</v>
      </c>
      <c r="Q73" s="272" t="s">
        <v>120</v>
      </c>
      <c r="R73" s="694"/>
      <c r="S73" s="692">
        <f>SUM(S40:S72)</f>
        <v>0</v>
      </c>
      <c r="T73" s="693">
        <f>SUM(T40:T72)</f>
        <v>0</v>
      </c>
      <c r="U73" s="693">
        <f>SUM(U40:U72)</f>
        <v>0</v>
      </c>
      <c r="V73" s="693">
        <f>SUM(V40:V72)</f>
        <v>0</v>
      </c>
      <c r="W73" s="693">
        <f>SUM(W66:W72)</f>
        <v>0</v>
      </c>
      <c r="X73" s="693">
        <f>SUM(X40:X72)</f>
        <v>0</v>
      </c>
      <c r="Y73" s="693">
        <f>SUM(Y66:Y72)</f>
        <v>0</v>
      </c>
      <c r="Z73" s="693">
        <f t="shared" ref="Z73:AA73" si="12">SUM(Z66:Z72)</f>
        <v>0</v>
      </c>
      <c r="AA73" s="693">
        <f t="shared" si="12"/>
        <v>0</v>
      </c>
      <c r="AB73" s="693">
        <f>SUM(AB66:AB72)</f>
        <v>0</v>
      </c>
      <c r="AC73" s="274">
        <f>SUM(AC40:AC72)</f>
        <v>0</v>
      </c>
    </row>
    <row r="74" spans="2:29" ht="17" outlineLevel="1" thickTop="1" thickBot="1" x14ac:dyDescent="0.25"/>
    <row r="75" spans="2:29" outlineLevel="1" x14ac:dyDescent="0.2">
      <c r="B75" s="523" t="str">
        <f>AU!C94</f>
        <v>2. Operation</v>
      </c>
      <c r="C75" s="524"/>
      <c r="D75" s="525" t="str">
        <f>AU!L15</f>
        <v>Year 1</v>
      </c>
      <c r="E75" s="526" t="str">
        <f>AU!O15</f>
        <v>Year 2</v>
      </c>
      <c r="F75" s="526" t="str">
        <f>AU!R15</f>
        <v>Year 3</v>
      </c>
      <c r="G75" s="526" t="str">
        <f>AU!U15</f>
        <v>Year 4</v>
      </c>
      <c r="H75" s="526" t="str">
        <f>AU!X15</f>
        <v>Year 5</v>
      </c>
      <c r="I75" s="526" t="str">
        <f>AU!AA15</f>
        <v>Year 6</v>
      </c>
      <c r="J75" s="526" t="str">
        <f>AU!AD15</f>
        <v>Year 7</v>
      </c>
      <c r="K75" s="526" t="str">
        <f>AU!AG15</f>
        <v>Year 8</v>
      </c>
      <c r="L75" s="526" t="str">
        <f>AU!AJ15</f>
        <v>Year 9</v>
      </c>
      <c r="M75" s="527" t="str">
        <f>AU!AM15</f>
        <v>Year 10</v>
      </c>
      <c r="N75" s="528" t="s">
        <v>120</v>
      </c>
      <c r="Q75" s="257" t="str">
        <f>B75</f>
        <v>2. Operation</v>
      </c>
      <c r="R75" s="255"/>
      <c r="S75" s="331" t="str">
        <f>AU!L15</f>
        <v>Year 1</v>
      </c>
      <c r="T75" s="332" t="str">
        <f>AU!O15</f>
        <v>Year 2</v>
      </c>
      <c r="U75" s="332" t="str">
        <f>AU!R15</f>
        <v>Year 3</v>
      </c>
      <c r="V75" s="332" t="str">
        <f>AU!U15</f>
        <v>Year 4</v>
      </c>
      <c r="W75" s="332" t="str">
        <f>AU!X15</f>
        <v>Year 5</v>
      </c>
      <c r="X75" s="332" t="str">
        <f>AU!AA15</f>
        <v>Year 6</v>
      </c>
      <c r="Y75" s="332" t="str">
        <f>AU!AD15</f>
        <v>Year 7</v>
      </c>
      <c r="Z75" s="332" t="str">
        <f>AU!AG15</f>
        <v>Year 8</v>
      </c>
      <c r="AA75" s="332" t="str">
        <f>AU!AJ15</f>
        <v>Year 9</v>
      </c>
      <c r="AB75" s="333" t="str">
        <f>AU!AM15</f>
        <v>Year 10</v>
      </c>
      <c r="AC75" s="256" t="s">
        <v>120</v>
      </c>
    </row>
    <row r="76" spans="2:29" outlineLevel="1" x14ac:dyDescent="0.2">
      <c r="B76" s="146" t="str">
        <f>AU!C95</f>
        <v>Equipment</v>
      </c>
      <c r="C76" s="147" t="str">
        <f>IF(AU!F95=0,"",AU!F95)</f>
        <v>High-performance computers</v>
      </c>
      <c r="D76" s="148">
        <f>AU!N95</f>
        <v>50000</v>
      </c>
      <c r="E76" s="149">
        <f>AU!Q95</f>
        <v>50000</v>
      </c>
      <c r="F76" s="149">
        <f>AU!T95</f>
        <v>50000</v>
      </c>
      <c r="G76" s="149">
        <f>AU!W95</f>
        <v>0</v>
      </c>
      <c r="H76" s="149">
        <f>AU!Z95</f>
        <v>0</v>
      </c>
      <c r="I76" s="149">
        <f>AU!AC95</f>
        <v>0</v>
      </c>
      <c r="J76" s="149">
        <f>AU!AF95</f>
        <v>0</v>
      </c>
      <c r="K76" s="149">
        <f>AU!AI95</f>
        <v>0</v>
      </c>
      <c r="L76" s="149">
        <f>AU!AL95</f>
        <v>0</v>
      </c>
      <c r="M76" s="149">
        <f>AU!AO95</f>
        <v>0</v>
      </c>
      <c r="N76" s="150">
        <f>SUM(D76:M76)</f>
        <v>150000</v>
      </c>
      <c r="Q76" s="261" t="str">
        <f>AU!C123</f>
        <v xml:space="preserve"> - </v>
      </c>
      <c r="R76" s="329" t="str">
        <f>IF(AU!F123=0,"",AU!F123)</f>
        <v/>
      </c>
      <c r="S76" s="269">
        <f>AU!N123</f>
        <v>0</v>
      </c>
      <c r="T76" s="270">
        <f>AU!Q123</f>
        <v>0</v>
      </c>
      <c r="U76" s="335">
        <f>AU!T123</f>
        <v>0</v>
      </c>
      <c r="V76" s="270">
        <f>AU!W123</f>
        <v>0</v>
      </c>
      <c r="W76" s="270">
        <f>AU!Z123</f>
        <v>0</v>
      </c>
      <c r="X76" s="270">
        <f>AU!AC123</f>
        <v>0</v>
      </c>
      <c r="Y76" s="270">
        <f>AU!AF123</f>
        <v>0</v>
      </c>
      <c r="Z76" s="270">
        <f>AU!AI123</f>
        <v>0</v>
      </c>
      <c r="AA76" s="270">
        <f>AU!AL123</f>
        <v>0</v>
      </c>
      <c r="AB76" s="336">
        <f>AU!AO123</f>
        <v>0</v>
      </c>
      <c r="AC76" s="271">
        <f>SUM(S76:AB76)</f>
        <v>0</v>
      </c>
    </row>
    <row r="77" spans="2:29" outlineLevel="1" x14ac:dyDescent="0.2">
      <c r="B77" s="151" t="str">
        <f>AU!C96</f>
        <v>Data management</v>
      </c>
      <c r="C77" s="152" t="str">
        <f>IF(AU!F96=0,"",AU!F96)</f>
        <v>Cluster time</v>
      </c>
      <c r="D77" s="148">
        <f>AU!N96</f>
        <v>50000</v>
      </c>
      <c r="E77" s="149">
        <f>AU!Q96</f>
        <v>50000</v>
      </c>
      <c r="F77" s="149">
        <f>AU!T96</f>
        <v>50000</v>
      </c>
      <c r="G77" s="149">
        <f>AU!W96</f>
        <v>50000</v>
      </c>
      <c r="H77" s="149">
        <f>AU!Z96</f>
        <v>50000</v>
      </c>
      <c r="I77" s="149">
        <f>AU!AC96</f>
        <v>50000</v>
      </c>
      <c r="J77" s="149">
        <f>AU!AF96</f>
        <v>0</v>
      </c>
      <c r="K77" s="149">
        <f>AU!AI96</f>
        <v>0</v>
      </c>
      <c r="L77" s="149">
        <f>AU!AL96</f>
        <v>0</v>
      </c>
      <c r="M77" s="149">
        <f>AU!AO96</f>
        <v>0</v>
      </c>
      <c r="N77" s="155">
        <f>SUM(D77:M77)</f>
        <v>300000</v>
      </c>
      <c r="Q77" s="267" t="str">
        <f>AU!C124</f>
        <v xml:space="preserve"> - </v>
      </c>
      <c r="R77" s="330" t="str">
        <f>IF(AU!F124=0,"",AU!F124)</f>
        <v/>
      </c>
      <c r="S77" s="263">
        <f>AU!N124</f>
        <v>0</v>
      </c>
      <c r="T77" s="264">
        <f>AU!Q124</f>
        <v>0</v>
      </c>
      <c r="U77" s="265">
        <f>AU!T124</f>
        <v>0</v>
      </c>
      <c r="V77" s="264">
        <f>AU!W124</f>
        <v>0</v>
      </c>
      <c r="W77" s="264">
        <f>AU!Z124</f>
        <v>0</v>
      </c>
      <c r="X77" s="264">
        <f>AU!AC124</f>
        <v>0</v>
      </c>
      <c r="Y77" s="264">
        <f>AU!AF124</f>
        <v>0</v>
      </c>
      <c r="Z77" s="264">
        <f>AU!AI124</f>
        <v>0</v>
      </c>
      <c r="AA77" s="264">
        <f>AU!AL124</f>
        <v>0</v>
      </c>
      <c r="AB77" s="337">
        <f>AU!AO124</f>
        <v>0</v>
      </c>
      <c r="AC77" s="266">
        <f t="shared" ref="AC77" si="13">SUM(S77:AB77)</f>
        <v>0</v>
      </c>
    </row>
    <row r="78" spans="2:29" outlineLevel="1" x14ac:dyDescent="0.2">
      <c r="B78" s="151" t="str">
        <f>AU!C97</f>
        <v>Operating expenses</v>
      </c>
      <c r="C78" s="152" t="str">
        <f>IF(AU!F97=0,"",AU!F97)</f>
        <v>Data storage</v>
      </c>
      <c r="D78" s="148">
        <f>AU!N97</f>
        <v>100000</v>
      </c>
      <c r="E78" s="149">
        <f>AU!Q97</f>
        <v>100000</v>
      </c>
      <c r="F78" s="149">
        <f>AU!T97</f>
        <v>100000</v>
      </c>
      <c r="G78" s="149">
        <f>AU!W97</f>
        <v>10000</v>
      </c>
      <c r="H78" s="149">
        <f>AU!Z97</f>
        <v>100000</v>
      </c>
      <c r="I78" s="149">
        <f>AU!AC97</f>
        <v>90000</v>
      </c>
      <c r="J78" s="149">
        <f>AU!AF97</f>
        <v>0</v>
      </c>
      <c r="K78" s="149">
        <f>AU!AI97</f>
        <v>0</v>
      </c>
      <c r="L78" s="149">
        <f>AU!AL97</f>
        <v>0</v>
      </c>
      <c r="M78" s="149">
        <f>AU!AO97</f>
        <v>0</v>
      </c>
      <c r="N78" s="155">
        <f t="shared" ref="N78:N93" si="14">SUM(D78:M78)</f>
        <v>500000</v>
      </c>
      <c r="Q78" s="267" t="str">
        <f>AU!C125</f>
        <v xml:space="preserve"> - </v>
      </c>
      <c r="R78" s="330" t="str">
        <f>IF(AU!F125=0,"",AU!F125)</f>
        <v/>
      </c>
      <c r="S78" s="263">
        <f>AU!N125</f>
        <v>0</v>
      </c>
      <c r="T78" s="264">
        <f>AU!Q125</f>
        <v>0</v>
      </c>
      <c r="U78" s="265">
        <f>AU!T125</f>
        <v>0</v>
      </c>
      <c r="V78" s="264">
        <f>AU!W125</f>
        <v>0</v>
      </c>
      <c r="W78" s="264">
        <f>AU!Z125</f>
        <v>0</v>
      </c>
      <c r="X78" s="264">
        <f>AU!AC125</f>
        <v>0</v>
      </c>
      <c r="Y78" s="264">
        <f>AU!AF125</f>
        <v>0</v>
      </c>
      <c r="Z78" s="264">
        <f>AU!AI125</f>
        <v>0</v>
      </c>
      <c r="AA78" s="264">
        <f>AU!AL125</f>
        <v>0</v>
      </c>
      <c r="AB78" s="337">
        <f>AU!AO125</f>
        <v>0</v>
      </c>
      <c r="AC78" s="266">
        <f t="shared" ref="AC78:AC101" si="15">SUM(S78:AB78)</f>
        <v>0</v>
      </c>
    </row>
    <row r="79" spans="2:29" outlineLevel="1" x14ac:dyDescent="0.2">
      <c r="B79" s="151" t="str">
        <f>AU!C98</f>
        <v xml:space="preserve"> - </v>
      </c>
      <c r="C79" s="152" t="str">
        <f>IF(AU!F98=0,"",AU!F98)</f>
        <v/>
      </c>
      <c r="D79" s="148">
        <f>AU!N98</f>
        <v>0</v>
      </c>
      <c r="E79" s="149">
        <f>AU!Q98</f>
        <v>0</v>
      </c>
      <c r="F79" s="149">
        <f>AU!T98</f>
        <v>0</v>
      </c>
      <c r="G79" s="149">
        <f>AU!W98</f>
        <v>0</v>
      </c>
      <c r="H79" s="149">
        <f>AU!Z98</f>
        <v>0</v>
      </c>
      <c r="I79" s="149">
        <f>AU!AC98</f>
        <v>0</v>
      </c>
      <c r="J79" s="149">
        <f>AU!AF98</f>
        <v>0</v>
      </c>
      <c r="K79" s="149">
        <f>AU!AI98</f>
        <v>0</v>
      </c>
      <c r="L79" s="149">
        <f>AU!AL98</f>
        <v>0</v>
      </c>
      <c r="M79" s="149">
        <f>AU!AO98</f>
        <v>0</v>
      </c>
      <c r="N79" s="155">
        <f t="shared" si="14"/>
        <v>0</v>
      </c>
      <c r="Q79" s="267" t="str">
        <f>AU!C126</f>
        <v xml:space="preserve"> - </v>
      </c>
      <c r="R79" s="330" t="str">
        <f>IF(AU!F126=0,"",AU!F126)</f>
        <v/>
      </c>
      <c r="S79" s="263">
        <f>AU!N126</f>
        <v>0</v>
      </c>
      <c r="T79" s="264">
        <f>AU!Q126</f>
        <v>0</v>
      </c>
      <c r="U79" s="265">
        <f>AU!T126</f>
        <v>0</v>
      </c>
      <c r="V79" s="264">
        <f>AU!W126</f>
        <v>0</v>
      </c>
      <c r="W79" s="264">
        <f>AU!Z126</f>
        <v>0</v>
      </c>
      <c r="X79" s="264">
        <f>AU!AC126</f>
        <v>0</v>
      </c>
      <c r="Y79" s="264">
        <f>AU!AF126</f>
        <v>0</v>
      </c>
      <c r="Z79" s="264">
        <f>AU!AI126</f>
        <v>0</v>
      </c>
      <c r="AA79" s="264">
        <f>AU!AL126</f>
        <v>0</v>
      </c>
      <c r="AB79" s="337">
        <f>AU!AO126</f>
        <v>0</v>
      </c>
      <c r="AC79" s="266">
        <f t="shared" si="15"/>
        <v>0</v>
      </c>
    </row>
    <row r="80" spans="2:29" outlineLevel="1" x14ac:dyDescent="0.2">
      <c r="B80" s="151" t="str">
        <f>AU!C99</f>
        <v xml:space="preserve"> - </v>
      </c>
      <c r="C80" s="152" t="str">
        <f>IF(AU!F99=0,"",AU!F99)</f>
        <v/>
      </c>
      <c r="D80" s="148">
        <f>AU!N99</f>
        <v>0</v>
      </c>
      <c r="E80" s="149">
        <f>AU!Q99</f>
        <v>0</v>
      </c>
      <c r="F80" s="149">
        <f>AU!T99</f>
        <v>0</v>
      </c>
      <c r="G80" s="149">
        <f>AU!W99</f>
        <v>0</v>
      </c>
      <c r="H80" s="149">
        <f>AU!Z99</f>
        <v>0</v>
      </c>
      <c r="I80" s="149">
        <f>AU!AC99</f>
        <v>0</v>
      </c>
      <c r="J80" s="149">
        <f>AU!AF99</f>
        <v>0</v>
      </c>
      <c r="K80" s="149">
        <f>AU!AI99</f>
        <v>0</v>
      </c>
      <c r="L80" s="149">
        <f>AU!AL99</f>
        <v>0</v>
      </c>
      <c r="M80" s="149">
        <f>AU!AO99</f>
        <v>0</v>
      </c>
      <c r="N80" s="155">
        <f t="shared" si="14"/>
        <v>0</v>
      </c>
      <c r="Q80" s="267" t="str">
        <f>AU!C127</f>
        <v xml:space="preserve"> - </v>
      </c>
      <c r="R80" s="330" t="str">
        <f>IF(AU!F127=0,"",AU!F127)</f>
        <v/>
      </c>
      <c r="S80" s="263">
        <f>AU!N127</f>
        <v>0</v>
      </c>
      <c r="T80" s="264">
        <f>AU!Q127</f>
        <v>0</v>
      </c>
      <c r="U80" s="265">
        <f>AU!T127</f>
        <v>0</v>
      </c>
      <c r="V80" s="264">
        <f>AU!W127</f>
        <v>0</v>
      </c>
      <c r="W80" s="264">
        <f>AU!Z127</f>
        <v>0</v>
      </c>
      <c r="X80" s="264">
        <f>AU!AC127</f>
        <v>0</v>
      </c>
      <c r="Y80" s="264">
        <f>AU!AF127</f>
        <v>0</v>
      </c>
      <c r="Z80" s="264">
        <f>AU!AI127</f>
        <v>0</v>
      </c>
      <c r="AA80" s="264">
        <f>AU!AL127</f>
        <v>0</v>
      </c>
      <c r="AB80" s="337">
        <f>AU!AO127</f>
        <v>0</v>
      </c>
      <c r="AC80" s="266">
        <f t="shared" si="15"/>
        <v>0</v>
      </c>
    </row>
    <row r="81" spans="2:29" outlineLevel="1" x14ac:dyDescent="0.2">
      <c r="B81" s="151" t="str">
        <f>AU!C100</f>
        <v xml:space="preserve"> -</v>
      </c>
      <c r="C81" s="152" t="str">
        <f>IF(AU!F100=0,"",AU!F100)</f>
        <v/>
      </c>
      <c r="D81" s="148">
        <f>AU!N100</f>
        <v>0</v>
      </c>
      <c r="E81" s="149">
        <f>AU!Q100</f>
        <v>0</v>
      </c>
      <c r="F81" s="149">
        <f>AU!T100</f>
        <v>0</v>
      </c>
      <c r="G81" s="149">
        <f>AU!W100</f>
        <v>0</v>
      </c>
      <c r="H81" s="149">
        <f>AU!Z100</f>
        <v>0</v>
      </c>
      <c r="I81" s="149">
        <f>AU!AC100</f>
        <v>0</v>
      </c>
      <c r="J81" s="149">
        <f>AU!AF100</f>
        <v>0</v>
      </c>
      <c r="K81" s="149">
        <f>AU!AI100</f>
        <v>0</v>
      </c>
      <c r="L81" s="149">
        <f>AU!AL100</f>
        <v>0</v>
      </c>
      <c r="M81" s="149">
        <f>AU!AO100</f>
        <v>0</v>
      </c>
      <c r="N81" s="155">
        <f t="shared" si="14"/>
        <v>0</v>
      </c>
      <c r="Q81" s="267" t="str">
        <f>AU!C128</f>
        <v xml:space="preserve"> - </v>
      </c>
      <c r="R81" s="330" t="str">
        <f>IF(AU!F128=0,"",AU!F128)</f>
        <v/>
      </c>
      <c r="S81" s="263">
        <f>AU!N128</f>
        <v>0</v>
      </c>
      <c r="T81" s="264">
        <f>AU!Q128</f>
        <v>0</v>
      </c>
      <c r="U81" s="265">
        <f>AU!T128</f>
        <v>0</v>
      </c>
      <c r="V81" s="264">
        <f>AU!W128</f>
        <v>0</v>
      </c>
      <c r="W81" s="264">
        <f>AU!Z128</f>
        <v>0</v>
      </c>
      <c r="X81" s="264">
        <f>AU!AC128</f>
        <v>0</v>
      </c>
      <c r="Y81" s="264">
        <f>AU!AF128</f>
        <v>0</v>
      </c>
      <c r="Z81" s="264">
        <f>AU!AI128</f>
        <v>0</v>
      </c>
      <c r="AA81" s="264">
        <f>AU!AL128</f>
        <v>0</v>
      </c>
      <c r="AB81" s="337">
        <f>AU!AO128</f>
        <v>0</v>
      </c>
      <c r="AC81" s="266">
        <f t="shared" si="15"/>
        <v>0</v>
      </c>
    </row>
    <row r="82" spans="2:29" outlineLevel="1" x14ac:dyDescent="0.2">
      <c r="B82" s="151" t="str">
        <f>AU!C101</f>
        <v xml:space="preserve"> - </v>
      </c>
      <c r="C82" s="152" t="str">
        <f>IF(AU!F101=0,"",AU!F101)</f>
        <v/>
      </c>
      <c r="D82" s="148">
        <f>AU!N101</f>
        <v>0</v>
      </c>
      <c r="E82" s="149">
        <f>AU!Q101</f>
        <v>0</v>
      </c>
      <c r="F82" s="149">
        <f>AU!T101</f>
        <v>0</v>
      </c>
      <c r="G82" s="149">
        <f>AU!W101</f>
        <v>0</v>
      </c>
      <c r="H82" s="149">
        <f>AU!Z101</f>
        <v>0</v>
      </c>
      <c r="I82" s="149">
        <f>AU!AC101</f>
        <v>0</v>
      </c>
      <c r="J82" s="149">
        <f>AU!AF101</f>
        <v>0</v>
      </c>
      <c r="K82" s="149">
        <f>AU!AI101</f>
        <v>0</v>
      </c>
      <c r="L82" s="149">
        <f>AU!AL101</f>
        <v>0</v>
      </c>
      <c r="M82" s="149">
        <f>AU!AO101</f>
        <v>0</v>
      </c>
      <c r="N82" s="155">
        <f t="shared" si="14"/>
        <v>0</v>
      </c>
      <c r="Q82" s="267" t="str">
        <f>AU!C129</f>
        <v xml:space="preserve"> - </v>
      </c>
      <c r="R82" s="330" t="str">
        <f>IF(AU!F129=0,"",AU!F129)</f>
        <v/>
      </c>
      <c r="S82" s="263">
        <f>AU!N129</f>
        <v>0</v>
      </c>
      <c r="T82" s="264">
        <f>AU!Q129</f>
        <v>0</v>
      </c>
      <c r="U82" s="265">
        <f>AU!T129</f>
        <v>0</v>
      </c>
      <c r="V82" s="264">
        <f>AU!W129</f>
        <v>0</v>
      </c>
      <c r="W82" s="264">
        <f>AU!Z129</f>
        <v>0</v>
      </c>
      <c r="X82" s="264">
        <f>AU!AC129</f>
        <v>0</v>
      </c>
      <c r="Y82" s="264">
        <f>AU!AF129</f>
        <v>0</v>
      </c>
      <c r="Z82" s="264">
        <f>AU!AI129</f>
        <v>0</v>
      </c>
      <c r="AA82" s="264">
        <f>AU!AL129</f>
        <v>0</v>
      </c>
      <c r="AB82" s="337">
        <f>AU!AO129</f>
        <v>0</v>
      </c>
      <c r="AC82" s="266">
        <f t="shared" si="15"/>
        <v>0</v>
      </c>
    </row>
    <row r="83" spans="2:29" outlineLevel="1" x14ac:dyDescent="0.2">
      <c r="B83" s="151" t="str">
        <f>AU!C102</f>
        <v xml:space="preserve"> - </v>
      </c>
      <c r="C83" s="152" t="str">
        <f>IF(AU!F102=0,"",AU!F102)</f>
        <v/>
      </c>
      <c r="D83" s="148">
        <f>AU!N102</f>
        <v>0</v>
      </c>
      <c r="E83" s="149">
        <f>AU!Q102</f>
        <v>0</v>
      </c>
      <c r="F83" s="149">
        <f>AU!T102</f>
        <v>0</v>
      </c>
      <c r="G83" s="149">
        <f>AU!W102</f>
        <v>0</v>
      </c>
      <c r="H83" s="149">
        <f>AU!Z102</f>
        <v>0</v>
      </c>
      <c r="I83" s="149">
        <f>AU!AC102</f>
        <v>0</v>
      </c>
      <c r="J83" s="149">
        <f>AU!AF102</f>
        <v>0</v>
      </c>
      <c r="K83" s="149">
        <f>AU!AI102</f>
        <v>0</v>
      </c>
      <c r="L83" s="149">
        <f>AU!AL102</f>
        <v>0</v>
      </c>
      <c r="M83" s="149">
        <f>AU!AO102</f>
        <v>0</v>
      </c>
      <c r="N83" s="155">
        <f t="shared" si="14"/>
        <v>0</v>
      </c>
      <c r="Q83" s="267" t="str">
        <f>AU!C130</f>
        <v xml:space="preserve"> - </v>
      </c>
      <c r="R83" s="330" t="str">
        <f>IF(AU!F130=0,"",AU!F130)</f>
        <v/>
      </c>
      <c r="S83" s="263">
        <f>AU!N130</f>
        <v>0</v>
      </c>
      <c r="T83" s="264">
        <f>AU!Q130</f>
        <v>0</v>
      </c>
      <c r="U83" s="265">
        <f>AU!T130</f>
        <v>0</v>
      </c>
      <c r="V83" s="264">
        <f>AU!W130</f>
        <v>0</v>
      </c>
      <c r="W83" s="264">
        <f>AU!Z130</f>
        <v>0</v>
      </c>
      <c r="X83" s="264">
        <f>AU!AC130</f>
        <v>0</v>
      </c>
      <c r="Y83" s="264">
        <f>AU!AF130</f>
        <v>0</v>
      </c>
      <c r="Z83" s="264">
        <f>AU!AI130</f>
        <v>0</v>
      </c>
      <c r="AA83" s="264">
        <f>AU!AL130</f>
        <v>0</v>
      </c>
      <c r="AB83" s="337">
        <f>AU!AO130</f>
        <v>0</v>
      </c>
      <c r="AC83" s="266">
        <f t="shared" si="15"/>
        <v>0</v>
      </c>
    </row>
    <row r="84" spans="2:29" outlineLevel="1" x14ac:dyDescent="0.2">
      <c r="B84" s="151" t="str">
        <f>AU!C103</f>
        <v xml:space="preserve"> - </v>
      </c>
      <c r="C84" s="152" t="str">
        <f>IF(AU!F103=0,"",AU!F103)</f>
        <v/>
      </c>
      <c r="D84" s="148">
        <f>AU!N103</f>
        <v>0</v>
      </c>
      <c r="E84" s="149">
        <f>AU!Q103</f>
        <v>0</v>
      </c>
      <c r="F84" s="149">
        <f>AU!T103</f>
        <v>0</v>
      </c>
      <c r="G84" s="149">
        <f>AU!W103</f>
        <v>0</v>
      </c>
      <c r="H84" s="149">
        <f>AU!Z103</f>
        <v>0</v>
      </c>
      <c r="I84" s="149">
        <f>AU!AC103</f>
        <v>0</v>
      </c>
      <c r="J84" s="149">
        <f>AU!AF103</f>
        <v>0</v>
      </c>
      <c r="K84" s="149">
        <f>AU!AI103</f>
        <v>0</v>
      </c>
      <c r="L84" s="149">
        <f>AU!AL103</f>
        <v>0</v>
      </c>
      <c r="M84" s="149">
        <f>AU!AO103</f>
        <v>0</v>
      </c>
      <c r="N84" s="155">
        <f t="shared" si="14"/>
        <v>0</v>
      </c>
      <c r="Q84" s="267" t="str">
        <f>AU!C131</f>
        <v xml:space="preserve"> - </v>
      </c>
      <c r="R84" s="330" t="str">
        <f>IF(AU!F131=0,"",AU!F131)</f>
        <v/>
      </c>
      <c r="S84" s="263">
        <f>AU!N131</f>
        <v>0</v>
      </c>
      <c r="T84" s="264">
        <f>AU!Q131</f>
        <v>0</v>
      </c>
      <c r="U84" s="265">
        <f>AU!T131</f>
        <v>0</v>
      </c>
      <c r="V84" s="264">
        <f>AU!W131</f>
        <v>0</v>
      </c>
      <c r="W84" s="264">
        <f>AU!Z131</f>
        <v>0</v>
      </c>
      <c r="X84" s="264">
        <f>AU!AC131</f>
        <v>0</v>
      </c>
      <c r="Y84" s="264">
        <f>AU!AF131</f>
        <v>0</v>
      </c>
      <c r="Z84" s="264">
        <f>AU!AI131</f>
        <v>0</v>
      </c>
      <c r="AA84" s="264">
        <f>AU!AL131</f>
        <v>0</v>
      </c>
      <c r="AB84" s="337">
        <f>AU!AO131</f>
        <v>0</v>
      </c>
      <c r="AC84" s="266">
        <f t="shared" si="15"/>
        <v>0</v>
      </c>
    </row>
    <row r="85" spans="2:29" outlineLevel="1" x14ac:dyDescent="0.2">
      <c r="B85" s="151" t="str">
        <f>AU!C104</f>
        <v xml:space="preserve"> - </v>
      </c>
      <c r="C85" s="152" t="str">
        <f>IF(AU!F104=0,"",AU!F104)</f>
        <v/>
      </c>
      <c r="D85" s="148">
        <f>AU!N104</f>
        <v>0</v>
      </c>
      <c r="E85" s="149">
        <f>AU!Q104</f>
        <v>0</v>
      </c>
      <c r="F85" s="149">
        <f>AU!T104</f>
        <v>0</v>
      </c>
      <c r="G85" s="149">
        <f>AU!W104</f>
        <v>0</v>
      </c>
      <c r="H85" s="149">
        <f>AU!Z104</f>
        <v>0</v>
      </c>
      <c r="I85" s="149">
        <f>AU!AC104</f>
        <v>0</v>
      </c>
      <c r="J85" s="149">
        <f>AU!AF104</f>
        <v>0</v>
      </c>
      <c r="K85" s="149">
        <f>AU!AI104</f>
        <v>0</v>
      </c>
      <c r="L85" s="149">
        <f>AU!AL104</f>
        <v>0</v>
      </c>
      <c r="M85" s="149">
        <f>AU!AO104</f>
        <v>0</v>
      </c>
      <c r="N85" s="155">
        <f t="shared" si="14"/>
        <v>0</v>
      </c>
      <c r="Q85" s="267" t="str">
        <f>AU!C132</f>
        <v xml:space="preserve"> - </v>
      </c>
      <c r="R85" s="330" t="str">
        <f>IF(AU!F132=0,"",AU!F132)</f>
        <v/>
      </c>
      <c r="S85" s="263">
        <f>AU!N132</f>
        <v>0</v>
      </c>
      <c r="T85" s="264">
        <f>AU!Q132</f>
        <v>0</v>
      </c>
      <c r="U85" s="265">
        <f>AU!T132</f>
        <v>0</v>
      </c>
      <c r="V85" s="264">
        <f>AU!W132</f>
        <v>0</v>
      </c>
      <c r="W85" s="264">
        <f>AU!Z132</f>
        <v>0</v>
      </c>
      <c r="X85" s="264">
        <f>AU!AC132</f>
        <v>0</v>
      </c>
      <c r="Y85" s="264">
        <f>AU!AF132</f>
        <v>0</v>
      </c>
      <c r="Z85" s="264">
        <f>AU!AI132</f>
        <v>0</v>
      </c>
      <c r="AA85" s="264">
        <f>AU!AL132</f>
        <v>0</v>
      </c>
      <c r="AB85" s="337">
        <f>AU!AO132</f>
        <v>0</v>
      </c>
      <c r="AC85" s="266">
        <f t="shared" si="15"/>
        <v>0</v>
      </c>
    </row>
    <row r="86" spans="2:29" hidden="1" outlineLevel="2" x14ac:dyDescent="0.2">
      <c r="B86" s="151" t="str">
        <f>AU!C105</f>
        <v xml:space="preserve"> - </v>
      </c>
      <c r="C86" s="152" t="str">
        <f>IF(AU!F105=0,"",AU!F105)</f>
        <v/>
      </c>
      <c r="D86" s="148">
        <f>AU!N105</f>
        <v>0</v>
      </c>
      <c r="E86" s="149">
        <f>AU!Q105</f>
        <v>0</v>
      </c>
      <c r="F86" s="149">
        <f>AU!T105</f>
        <v>0</v>
      </c>
      <c r="G86" s="149">
        <f>AU!W105</f>
        <v>0</v>
      </c>
      <c r="H86" s="149">
        <f>AU!Z105</f>
        <v>0</v>
      </c>
      <c r="I86" s="149">
        <f>AU!AC105</f>
        <v>0</v>
      </c>
      <c r="J86" s="149">
        <f>AU!AF105</f>
        <v>0</v>
      </c>
      <c r="K86" s="149">
        <f>AU!AI105</f>
        <v>0</v>
      </c>
      <c r="L86" s="149">
        <f>AU!AL105</f>
        <v>0</v>
      </c>
      <c r="M86" s="149">
        <f>AU!AO105</f>
        <v>0</v>
      </c>
      <c r="N86" s="155">
        <f t="shared" si="14"/>
        <v>0</v>
      </c>
      <c r="Q86" s="267" t="str">
        <f>AU!C133</f>
        <v xml:space="preserve"> - </v>
      </c>
      <c r="R86" s="330" t="str">
        <f>IF(AU!F133=0,"",AU!F133)</f>
        <v/>
      </c>
      <c r="S86" s="263">
        <f>AU!N133</f>
        <v>0</v>
      </c>
      <c r="T86" s="264">
        <f>AU!Q133</f>
        <v>0</v>
      </c>
      <c r="U86" s="265">
        <f>AU!T133</f>
        <v>0</v>
      </c>
      <c r="V86" s="264">
        <f>AU!W133</f>
        <v>0</v>
      </c>
      <c r="W86" s="264">
        <f>AU!Z133</f>
        <v>0</v>
      </c>
      <c r="X86" s="264">
        <f>AU!AC133</f>
        <v>0</v>
      </c>
      <c r="Y86" s="264">
        <f>AU!AF133</f>
        <v>0</v>
      </c>
      <c r="Z86" s="264">
        <f>AU!AI133</f>
        <v>0</v>
      </c>
      <c r="AA86" s="264">
        <f>AU!AL133</f>
        <v>0</v>
      </c>
      <c r="AB86" s="337">
        <f>AU!AO133</f>
        <v>0</v>
      </c>
      <c r="AC86" s="208">
        <f t="shared" si="15"/>
        <v>0</v>
      </c>
    </row>
    <row r="87" spans="2:29" hidden="1" outlineLevel="2" x14ac:dyDescent="0.2">
      <c r="B87" s="151" t="str">
        <f>AU!C106</f>
        <v xml:space="preserve"> - </v>
      </c>
      <c r="C87" s="152" t="str">
        <f>IF(AU!F106=0,"",AU!F106)</f>
        <v/>
      </c>
      <c r="D87" s="148">
        <f>AU!N106</f>
        <v>0</v>
      </c>
      <c r="E87" s="149">
        <f>AU!Q106</f>
        <v>0</v>
      </c>
      <c r="F87" s="149">
        <f>AU!T106</f>
        <v>0</v>
      </c>
      <c r="G87" s="149">
        <f>AU!W106</f>
        <v>0</v>
      </c>
      <c r="H87" s="149">
        <f>AU!Z106</f>
        <v>0</v>
      </c>
      <c r="I87" s="149">
        <f>AU!AC106</f>
        <v>0</v>
      </c>
      <c r="J87" s="149">
        <f>AU!AF106</f>
        <v>0</v>
      </c>
      <c r="K87" s="149">
        <f>AU!AI106</f>
        <v>0</v>
      </c>
      <c r="L87" s="149">
        <f>AU!AL106</f>
        <v>0</v>
      </c>
      <c r="M87" s="149">
        <f>AU!AO106</f>
        <v>0</v>
      </c>
      <c r="N87" s="155">
        <f t="shared" si="14"/>
        <v>0</v>
      </c>
      <c r="Q87" s="267" t="str">
        <f>AU!C134</f>
        <v xml:space="preserve"> - </v>
      </c>
      <c r="R87" s="330" t="str">
        <f>IF(AU!F134=0,"",AU!F134)</f>
        <v/>
      </c>
      <c r="S87" s="263">
        <f>AU!N134</f>
        <v>0</v>
      </c>
      <c r="T87" s="264">
        <f>AU!Q134</f>
        <v>0</v>
      </c>
      <c r="U87" s="265">
        <f>AU!T134</f>
        <v>0</v>
      </c>
      <c r="V87" s="264">
        <f>AU!W134</f>
        <v>0</v>
      </c>
      <c r="W87" s="264">
        <f>AU!Z134</f>
        <v>0</v>
      </c>
      <c r="X87" s="264">
        <f>AU!AC134</f>
        <v>0</v>
      </c>
      <c r="Y87" s="264">
        <f>AU!AF134</f>
        <v>0</v>
      </c>
      <c r="Z87" s="264">
        <f>AU!AI134</f>
        <v>0</v>
      </c>
      <c r="AA87" s="264">
        <f>AU!AL134</f>
        <v>0</v>
      </c>
      <c r="AB87" s="337">
        <f>AU!AO134</f>
        <v>0</v>
      </c>
      <c r="AC87" s="208">
        <f t="shared" si="15"/>
        <v>0</v>
      </c>
    </row>
    <row r="88" spans="2:29" hidden="1" outlineLevel="2" x14ac:dyDescent="0.2">
      <c r="B88" s="151" t="str">
        <f>AU!C107</f>
        <v xml:space="preserve"> - </v>
      </c>
      <c r="C88" s="152" t="str">
        <f>IF(AU!F107=0,"",AU!F107)</f>
        <v/>
      </c>
      <c r="D88" s="153">
        <f>AU!N107</f>
        <v>0</v>
      </c>
      <c r="E88" s="154">
        <f>AU!Q107</f>
        <v>0</v>
      </c>
      <c r="F88" s="154">
        <f>AU!T107</f>
        <v>0</v>
      </c>
      <c r="G88" s="154">
        <f>AU!W107</f>
        <v>0</v>
      </c>
      <c r="H88" s="154">
        <f>AU!Z107</f>
        <v>0</v>
      </c>
      <c r="I88" s="154">
        <f>AU!AC107</f>
        <v>0</v>
      </c>
      <c r="J88" s="154">
        <f>AU!AF107</f>
        <v>0</v>
      </c>
      <c r="K88" s="154">
        <f>AU!AI107</f>
        <v>0</v>
      </c>
      <c r="L88" s="154">
        <f>AU!AL107</f>
        <v>0</v>
      </c>
      <c r="M88" s="163">
        <f>AU!AO107</f>
        <v>0</v>
      </c>
      <c r="N88" s="155">
        <f t="shared" si="14"/>
        <v>0</v>
      </c>
      <c r="Q88" s="267" t="str">
        <f>AU!C135</f>
        <v xml:space="preserve"> - </v>
      </c>
      <c r="R88" s="330" t="str">
        <f>IF(AU!F135=0,"",AU!F135)</f>
        <v/>
      </c>
      <c r="S88" s="263">
        <f>AU!N135</f>
        <v>0</v>
      </c>
      <c r="T88" s="264">
        <f>AU!Q135</f>
        <v>0</v>
      </c>
      <c r="U88" s="265">
        <f>AU!T135</f>
        <v>0</v>
      </c>
      <c r="V88" s="264">
        <f>AU!W135</f>
        <v>0</v>
      </c>
      <c r="W88" s="264">
        <f>AU!Z135</f>
        <v>0</v>
      </c>
      <c r="X88" s="264">
        <f>AU!AC135</f>
        <v>0</v>
      </c>
      <c r="Y88" s="264">
        <f>AU!AF135</f>
        <v>0</v>
      </c>
      <c r="Z88" s="264">
        <f>AU!AI135</f>
        <v>0</v>
      </c>
      <c r="AA88" s="264">
        <f>AU!AL135</f>
        <v>0</v>
      </c>
      <c r="AB88" s="337">
        <f>AU!AO135</f>
        <v>0</v>
      </c>
      <c r="AC88" s="208">
        <f t="shared" si="15"/>
        <v>0</v>
      </c>
    </row>
    <row r="89" spans="2:29" hidden="1" outlineLevel="2" x14ac:dyDescent="0.2">
      <c r="B89" s="151" t="str">
        <f>AU!C108</f>
        <v xml:space="preserve"> - </v>
      </c>
      <c r="C89" s="152" t="str">
        <f>IF(AU!F108=0,"",AU!F108)</f>
        <v/>
      </c>
      <c r="D89" s="148">
        <f>AU!N108</f>
        <v>0</v>
      </c>
      <c r="E89" s="149">
        <f>AU!Q108</f>
        <v>0</v>
      </c>
      <c r="F89" s="149">
        <f>AU!T108</f>
        <v>0</v>
      </c>
      <c r="G89" s="149">
        <f>AU!W108</f>
        <v>0</v>
      </c>
      <c r="H89" s="149">
        <f>AU!Z108</f>
        <v>0</v>
      </c>
      <c r="I89" s="149">
        <f>AU!AC108</f>
        <v>0</v>
      </c>
      <c r="J89" s="149">
        <f>AU!AF108</f>
        <v>0</v>
      </c>
      <c r="K89" s="149">
        <f>AU!AI108</f>
        <v>0</v>
      </c>
      <c r="L89" s="149">
        <f>AU!AL108</f>
        <v>0</v>
      </c>
      <c r="M89" s="149">
        <f>AU!AO108</f>
        <v>0</v>
      </c>
      <c r="N89" s="155">
        <f t="shared" si="14"/>
        <v>0</v>
      </c>
      <c r="Q89" s="267" t="str">
        <f>AU!C136</f>
        <v xml:space="preserve"> - </v>
      </c>
      <c r="R89" s="330" t="str">
        <f>IF(AU!F136=0,"",AU!F136)</f>
        <v/>
      </c>
      <c r="S89" s="263">
        <f>AU!N136</f>
        <v>0</v>
      </c>
      <c r="T89" s="264">
        <f>AU!Q136</f>
        <v>0</v>
      </c>
      <c r="U89" s="265">
        <f>AU!T136</f>
        <v>0</v>
      </c>
      <c r="V89" s="264">
        <f>AU!W136</f>
        <v>0</v>
      </c>
      <c r="W89" s="264">
        <f>AU!Z136</f>
        <v>0</v>
      </c>
      <c r="X89" s="264">
        <f>AU!AC136</f>
        <v>0</v>
      </c>
      <c r="Y89" s="264">
        <f>AU!AF136</f>
        <v>0</v>
      </c>
      <c r="Z89" s="264">
        <f>AU!AI136</f>
        <v>0</v>
      </c>
      <c r="AA89" s="264">
        <f>AU!AL136</f>
        <v>0</v>
      </c>
      <c r="AB89" s="337">
        <f>AU!AO136</f>
        <v>0</v>
      </c>
      <c r="AC89" s="208">
        <f t="shared" si="15"/>
        <v>0</v>
      </c>
    </row>
    <row r="90" spans="2:29" hidden="1" outlineLevel="2" x14ac:dyDescent="0.2">
      <c r="B90" s="151" t="str">
        <f>AU!C109</f>
        <v xml:space="preserve"> - </v>
      </c>
      <c r="C90" s="152" t="str">
        <f>IF(AU!F109=0,"",AU!F109)</f>
        <v/>
      </c>
      <c r="D90" s="148">
        <f>AU!N109</f>
        <v>0</v>
      </c>
      <c r="E90" s="149">
        <f>AU!Q109</f>
        <v>0</v>
      </c>
      <c r="F90" s="149">
        <f>AU!T109</f>
        <v>0</v>
      </c>
      <c r="G90" s="149">
        <f>AU!W109</f>
        <v>0</v>
      </c>
      <c r="H90" s="149">
        <f>AU!Z109</f>
        <v>0</v>
      </c>
      <c r="I90" s="149">
        <f>AU!AC109</f>
        <v>0</v>
      </c>
      <c r="J90" s="149">
        <f>AU!AF109</f>
        <v>0</v>
      </c>
      <c r="K90" s="149">
        <f>AU!AI109</f>
        <v>0</v>
      </c>
      <c r="L90" s="149">
        <f>AU!AL109</f>
        <v>0</v>
      </c>
      <c r="M90" s="149">
        <f>AU!AO109</f>
        <v>0</v>
      </c>
      <c r="N90" s="155">
        <f t="shared" si="14"/>
        <v>0</v>
      </c>
      <c r="Q90" s="267" t="str">
        <f>AU!C137</f>
        <v xml:space="preserve"> - </v>
      </c>
      <c r="R90" s="330" t="str">
        <f>IF(AU!F137=0,"",AU!F137)</f>
        <v/>
      </c>
      <c r="S90" s="263">
        <f>AU!N137</f>
        <v>0</v>
      </c>
      <c r="T90" s="264">
        <f>AU!Q137</f>
        <v>0</v>
      </c>
      <c r="U90" s="265">
        <f>AU!T137</f>
        <v>0</v>
      </c>
      <c r="V90" s="264">
        <f>AU!W137</f>
        <v>0</v>
      </c>
      <c r="W90" s="264">
        <f>AU!Z137</f>
        <v>0</v>
      </c>
      <c r="X90" s="264">
        <f>AU!AC137</f>
        <v>0</v>
      </c>
      <c r="Y90" s="264">
        <f>AU!AF137</f>
        <v>0</v>
      </c>
      <c r="Z90" s="264">
        <f>AU!AI137</f>
        <v>0</v>
      </c>
      <c r="AA90" s="264">
        <f>AU!AL137</f>
        <v>0</v>
      </c>
      <c r="AB90" s="337">
        <f>AU!AO137</f>
        <v>0</v>
      </c>
      <c r="AC90" s="208">
        <f t="shared" si="15"/>
        <v>0</v>
      </c>
    </row>
    <row r="91" spans="2:29" hidden="1" outlineLevel="2" x14ac:dyDescent="0.2">
      <c r="B91" s="151" t="str">
        <f>AU!C110</f>
        <v xml:space="preserve"> - </v>
      </c>
      <c r="C91" s="152" t="str">
        <f>IF(AU!F110=0,"",AU!F110)</f>
        <v/>
      </c>
      <c r="D91" s="148">
        <f>AU!N110</f>
        <v>0</v>
      </c>
      <c r="E91" s="149">
        <f>AU!Q110</f>
        <v>0</v>
      </c>
      <c r="F91" s="149">
        <f>AU!T110</f>
        <v>0</v>
      </c>
      <c r="G91" s="149">
        <f>AU!W110</f>
        <v>0</v>
      </c>
      <c r="H91" s="149">
        <f>AU!Z110</f>
        <v>0</v>
      </c>
      <c r="I91" s="149">
        <f>AU!AC110</f>
        <v>0</v>
      </c>
      <c r="J91" s="149">
        <f>AU!AF110</f>
        <v>0</v>
      </c>
      <c r="K91" s="149">
        <f>AU!AI110</f>
        <v>0</v>
      </c>
      <c r="L91" s="149">
        <f>AU!AL110</f>
        <v>0</v>
      </c>
      <c r="M91" s="149">
        <f>AU!AO110</f>
        <v>0</v>
      </c>
      <c r="N91" s="155">
        <f t="shared" si="14"/>
        <v>0</v>
      </c>
      <c r="Q91" s="267" t="str">
        <f>AU!C138</f>
        <v xml:space="preserve"> - </v>
      </c>
      <c r="R91" s="330" t="str">
        <f>IF(AU!F138=0,"",AU!F138)</f>
        <v/>
      </c>
      <c r="S91" s="269">
        <f>AU!N138</f>
        <v>0</v>
      </c>
      <c r="T91" s="270">
        <f>AU!Q138</f>
        <v>0</v>
      </c>
      <c r="U91" s="335">
        <f>AU!T138</f>
        <v>0</v>
      </c>
      <c r="V91" s="270">
        <f>AU!W138</f>
        <v>0</v>
      </c>
      <c r="W91" s="270">
        <f>AU!Z138</f>
        <v>0</v>
      </c>
      <c r="X91" s="270">
        <f>AU!AC138</f>
        <v>0</v>
      </c>
      <c r="Y91" s="270">
        <f>AU!AF138</f>
        <v>0</v>
      </c>
      <c r="Z91" s="270">
        <f>AU!AI138</f>
        <v>0</v>
      </c>
      <c r="AA91" s="270">
        <f>AU!AL138</f>
        <v>0</v>
      </c>
      <c r="AB91" s="336">
        <f>AU!AO138</f>
        <v>0</v>
      </c>
      <c r="AC91" s="208">
        <f t="shared" si="15"/>
        <v>0</v>
      </c>
    </row>
    <row r="92" spans="2:29" outlineLevel="1" collapsed="1" x14ac:dyDescent="0.2">
      <c r="B92" s="529" t="str">
        <f>AU!C111</f>
        <v>3. Dissemination, training, education</v>
      </c>
      <c r="C92" s="530"/>
      <c r="D92" s="531"/>
      <c r="E92" s="531"/>
      <c r="F92" s="531"/>
      <c r="G92" s="531"/>
      <c r="H92" s="531"/>
      <c r="I92" s="531"/>
      <c r="J92" s="531">
        <f>AU!AF111</f>
        <v>0</v>
      </c>
      <c r="K92" s="531">
        <f>AU!AI111</f>
        <v>0</v>
      </c>
      <c r="L92" s="531">
        <f>AU!AL111</f>
        <v>0</v>
      </c>
      <c r="M92" s="531">
        <f>AU!AO111</f>
        <v>0</v>
      </c>
      <c r="N92" s="532"/>
      <c r="Q92" s="259" t="str">
        <f>B92</f>
        <v>3. Dissemination, training, education</v>
      </c>
      <c r="R92" s="260"/>
      <c r="S92" s="325"/>
      <c r="T92" s="325"/>
      <c r="U92" s="325"/>
      <c r="V92" s="325"/>
      <c r="W92" s="325"/>
      <c r="X92" s="325"/>
      <c r="Y92" s="325">
        <f>AU!AF139</f>
        <v>0</v>
      </c>
      <c r="Z92" s="325">
        <f>AU!AI139</f>
        <v>0</v>
      </c>
      <c r="AA92" s="325">
        <f>AU!AL139</f>
        <v>0</v>
      </c>
      <c r="AB92" s="325">
        <f>AU!AO139</f>
        <v>0</v>
      </c>
      <c r="AC92" s="328"/>
    </row>
    <row r="93" spans="2:29" outlineLevel="1" x14ac:dyDescent="0.2">
      <c r="B93" s="151" t="str">
        <f>AU!C112</f>
        <v>Conference participation</v>
      </c>
      <c r="C93" s="152" t="str">
        <f>IF(AU!F112=0,"",AU!F112)</f>
        <v/>
      </c>
      <c r="D93" s="148">
        <f>AU!N112</f>
        <v>15000</v>
      </c>
      <c r="E93" s="149">
        <f>AU!Q112</f>
        <v>15000</v>
      </c>
      <c r="F93" s="149">
        <f>AU!T112</f>
        <v>15000</v>
      </c>
      <c r="G93" s="149">
        <f>AU!W112</f>
        <v>15000</v>
      </c>
      <c r="H93" s="149">
        <f>AU!Z112</f>
        <v>15000</v>
      </c>
      <c r="I93" s="149">
        <f>AU!AC112</f>
        <v>5000</v>
      </c>
      <c r="J93" s="149">
        <f>AU!AF112</f>
        <v>0</v>
      </c>
      <c r="K93" s="149">
        <f>AU!AI112</f>
        <v>0</v>
      </c>
      <c r="L93" s="149">
        <f>AU!AL112</f>
        <v>0</v>
      </c>
      <c r="M93" s="149">
        <f>AU!AO112</f>
        <v>0</v>
      </c>
      <c r="N93" s="155">
        <f t="shared" si="14"/>
        <v>80000</v>
      </c>
      <c r="Q93" s="267" t="str">
        <f>AU!C140</f>
        <v xml:space="preserve"> - </v>
      </c>
      <c r="R93" s="330" t="str">
        <f>IF(AU!F140=0,"",AU!F140)</f>
        <v/>
      </c>
      <c r="S93" s="263">
        <f>AU!N140</f>
        <v>0</v>
      </c>
      <c r="T93" s="264">
        <f>AU!Q140</f>
        <v>0</v>
      </c>
      <c r="U93" s="265">
        <f>AU!T140</f>
        <v>0</v>
      </c>
      <c r="V93" s="264">
        <f>AU!W140</f>
        <v>0</v>
      </c>
      <c r="W93" s="264">
        <f>AU!Z140</f>
        <v>0</v>
      </c>
      <c r="X93" s="264">
        <f>AU!AC140</f>
        <v>0</v>
      </c>
      <c r="Y93" s="264">
        <f>AU!AF140</f>
        <v>0</v>
      </c>
      <c r="Z93" s="264">
        <f>AU!AI140</f>
        <v>0</v>
      </c>
      <c r="AA93" s="264">
        <f>AU!AL140</f>
        <v>0</v>
      </c>
      <c r="AB93" s="337">
        <f>AU!AO140</f>
        <v>0</v>
      </c>
      <c r="AC93" s="271">
        <f t="shared" si="15"/>
        <v>0</v>
      </c>
    </row>
    <row r="94" spans="2:29" outlineLevel="1" x14ac:dyDescent="0.2">
      <c r="B94" s="151" t="str">
        <f>AU!C113</f>
        <v>Travel</v>
      </c>
      <c r="C94" s="152" t="str">
        <f>IF(AU!F113=0,"",AU!F113)</f>
        <v/>
      </c>
      <c r="D94" s="148">
        <f>AU!N113</f>
        <v>20000</v>
      </c>
      <c r="E94" s="149">
        <f>AU!Q113</f>
        <v>20000</v>
      </c>
      <c r="F94" s="149">
        <f>AU!T113</f>
        <v>20000</v>
      </c>
      <c r="G94" s="149">
        <f>AU!W113</f>
        <v>20000</v>
      </c>
      <c r="H94" s="149">
        <f>AU!Z113</f>
        <v>20000</v>
      </c>
      <c r="I94" s="149">
        <f>AU!AC113</f>
        <v>20000</v>
      </c>
      <c r="J94" s="149">
        <f>AU!AF113</f>
        <v>0</v>
      </c>
      <c r="K94" s="149">
        <f>AU!AI113</f>
        <v>0</v>
      </c>
      <c r="L94" s="149">
        <f>AU!AL113</f>
        <v>0</v>
      </c>
      <c r="M94" s="149">
        <f>AU!AO113</f>
        <v>0</v>
      </c>
      <c r="N94" s="155">
        <f t="shared" ref="N94" si="16">SUM(D94:M94)</f>
        <v>120000</v>
      </c>
      <c r="Q94" s="267" t="str">
        <f>AU!C141</f>
        <v xml:space="preserve"> - </v>
      </c>
      <c r="R94" s="330" t="str">
        <f>IF(AU!F141=0,"",AU!F141)</f>
        <v/>
      </c>
      <c r="S94" s="263">
        <f>AU!N141</f>
        <v>0</v>
      </c>
      <c r="T94" s="264">
        <f>AU!Q141</f>
        <v>0</v>
      </c>
      <c r="U94" s="265">
        <f>AU!T141</f>
        <v>0</v>
      </c>
      <c r="V94" s="264">
        <f>AU!W141</f>
        <v>0</v>
      </c>
      <c r="W94" s="264">
        <f>AU!Z141</f>
        <v>0</v>
      </c>
      <c r="X94" s="264">
        <f>AU!AC141</f>
        <v>0</v>
      </c>
      <c r="Y94" s="264">
        <f>AU!AF141</f>
        <v>0</v>
      </c>
      <c r="Z94" s="264">
        <f>AU!AI141</f>
        <v>0</v>
      </c>
      <c r="AA94" s="264">
        <f>AU!AL141</f>
        <v>0</v>
      </c>
      <c r="AB94" s="337">
        <f>AU!AO141</f>
        <v>0</v>
      </c>
      <c r="AC94" s="266">
        <f t="shared" si="15"/>
        <v>0</v>
      </c>
    </row>
    <row r="95" spans="2:29" outlineLevel="1" x14ac:dyDescent="0.2">
      <c r="B95" s="151" t="str">
        <f>AU!C114</f>
        <v>Publication costs</v>
      </c>
      <c r="C95" s="152" t="str">
        <f>IF(AU!F114=0,"",AU!F114)</f>
        <v/>
      </c>
      <c r="D95" s="148">
        <f>AU!N114</f>
        <v>0</v>
      </c>
      <c r="E95" s="149">
        <f>AU!Q114</f>
        <v>25000</v>
      </c>
      <c r="F95" s="149">
        <f>AU!T114</f>
        <v>25000</v>
      </c>
      <c r="G95" s="149">
        <f>AU!W114</f>
        <v>25000</v>
      </c>
      <c r="H95" s="149">
        <f>AU!Z114</f>
        <v>25000</v>
      </c>
      <c r="I95" s="149">
        <f>AU!AC114</f>
        <v>25000</v>
      </c>
      <c r="J95" s="149">
        <f>AU!AF114</f>
        <v>0</v>
      </c>
      <c r="K95" s="149">
        <f>AU!AI114</f>
        <v>0</v>
      </c>
      <c r="L95" s="149">
        <f>AU!AL114</f>
        <v>0</v>
      </c>
      <c r="M95" s="149">
        <f>AU!AO114</f>
        <v>0</v>
      </c>
      <c r="N95" s="155">
        <f t="shared" ref="N95:N100" si="17">SUM(D95:M95)</f>
        <v>125000</v>
      </c>
      <c r="Q95" s="267" t="str">
        <f>AU!C142</f>
        <v xml:space="preserve"> - </v>
      </c>
      <c r="R95" s="330" t="str">
        <f>IF(AU!F142=0,"",AU!F142)</f>
        <v/>
      </c>
      <c r="S95" s="263">
        <f>AU!N142</f>
        <v>0</v>
      </c>
      <c r="T95" s="264">
        <f>AU!Q142</f>
        <v>0</v>
      </c>
      <c r="U95" s="265">
        <f>AU!T142</f>
        <v>0</v>
      </c>
      <c r="V95" s="264">
        <f>AU!W142</f>
        <v>0</v>
      </c>
      <c r="W95" s="264">
        <f>AU!Z142</f>
        <v>0</v>
      </c>
      <c r="X95" s="264">
        <f>AU!AC142</f>
        <v>0</v>
      </c>
      <c r="Y95" s="264">
        <f>AU!AF142</f>
        <v>0</v>
      </c>
      <c r="Z95" s="264">
        <f>AU!AI142</f>
        <v>0</v>
      </c>
      <c r="AA95" s="264">
        <f>AU!AL142</f>
        <v>0</v>
      </c>
      <c r="AB95" s="337">
        <f>AU!AO142</f>
        <v>0</v>
      </c>
      <c r="AC95" s="266">
        <f t="shared" si="15"/>
        <v>0</v>
      </c>
    </row>
    <row r="96" spans="2:29" hidden="1" outlineLevel="2" x14ac:dyDescent="0.2">
      <c r="B96" s="151" t="str">
        <f>AU!C115</f>
        <v>Travel</v>
      </c>
      <c r="C96" s="152" t="str">
        <f>IF(AU!F115=0,"",AU!F115)</f>
        <v>PhD research stay abroad</v>
      </c>
      <c r="D96" s="148">
        <f>AU!N115</f>
        <v>0</v>
      </c>
      <c r="E96" s="149">
        <f>AU!Q115</f>
        <v>0</v>
      </c>
      <c r="F96" s="149">
        <f>AU!T115</f>
        <v>30000</v>
      </c>
      <c r="G96" s="149">
        <f>AU!W115</f>
        <v>0</v>
      </c>
      <c r="H96" s="149">
        <f>AU!Z115</f>
        <v>30000</v>
      </c>
      <c r="I96" s="149">
        <f>AU!AC115</f>
        <v>0</v>
      </c>
      <c r="J96" s="149">
        <f>AU!AF115</f>
        <v>0</v>
      </c>
      <c r="K96" s="149">
        <f>AU!AI115</f>
        <v>0</v>
      </c>
      <c r="L96" s="149">
        <f>AU!AL115</f>
        <v>0</v>
      </c>
      <c r="M96" s="149">
        <f>AU!AO115</f>
        <v>0</v>
      </c>
      <c r="N96" s="155">
        <f t="shared" si="17"/>
        <v>60000</v>
      </c>
      <c r="Q96" s="267" t="str">
        <f>AU!C143</f>
        <v xml:space="preserve"> - </v>
      </c>
      <c r="R96" s="330" t="str">
        <f>IF(AU!F143=0,"",AU!F143)</f>
        <v/>
      </c>
      <c r="S96" s="263">
        <f>AU!N143</f>
        <v>0</v>
      </c>
      <c r="T96" s="264">
        <f>AU!Q143</f>
        <v>0</v>
      </c>
      <c r="U96" s="265">
        <f>AU!T143</f>
        <v>0</v>
      </c>
      <c r="V96" s="264">
        <f>AU!W143</f>
        <v>0</v>
      </c>
      <c r="W96" s="264">
        <f>AU!Z143</f>
        <v>0</v>
      </c>
      <c r="X96" s="264">
        <f>AU!AC143</f>
        <v>0</v>
      </c>
      <c r="Y96" s="264">
        <f>AU!AF143</f>
        <v>0</v>
      </c>
      <c r="Z96" s="264">
        <f>AU!AI143</f>
        <v>0</v>
      </c>
      <c r="AA96" s="264">
        <f>AU!AL143</f>
        <v>0</v>
      </c>
      <c r="AB96" s="337">
        <f>AU!AO143</f>
        <v>0</v>
      </c>
      <c r="AC96" s="266">
        <f t="shared" si="15"/>
        <v>0</v>
      </c>
    </row>
    <row r="97" spans="2:29" hidden="1" outlineLevel="2" x14ac:dyDescent="0.2">
      <c r="B97" s="151" t="str">
        <f>AU!C116</f>
        <v xml:space="preserve"> - </v>
      </c>
      <c r="C97" s="152" t="str">
        <f>IF(AU!F116=0,"",AU!F116)</f>
        <v/>
      </c>
      <c r="D97" s="148">
        <f>AU!N116</f>
        <v>0</v>
      </c>
      <c r="E97" s="149">
        <f>AU!Q116</f>
        <v>0</v>
      </c>
      <c r="F97" s="149">
        <f>AU!T116</f>
        <v>0</v>
      </c>
      <c r="G97" s="149">
        <f>AU!W116</f>
        <v>0</v>
      </c>
      <c r="H97" s="149">
        <f>AU!Z116</f>
        <v>0</v>
      </c>
      <c r="I97" s="149">
        <f>AU!AC116</f>
        <v>0</v>
      </c>
      <c r="J97" s="149">
        <f>AU!AF116</f>
        <v>0</v>
      </c>
      <c r="K97" s="149">
        <f>AU!AI116</f>
        <v>0</v>
      </c>
      <c r="L97" s="149">
        <f>AU!AL116</f>
        <v>0</v>
      </c>
      <c r="M97" s="149">
        <f>AU!AO116</f>
        <v>0</v>
      </c>
      <c r="N97" s="155">
        <f t="shared" si="17"/>
        <v>0</v>
      </c>
      <c r="Q97" s="267" t="str">
        <f>AU!C144</f>
        <v xml:space="preserve"> - </v>
      </c>
      <c r="R97" s="330" t="str">
        <f>IF(AU!F144=0,"",AU!F144)</f>
        <v/>
      </c>
      <c r="S97" s="263">
        <f>AU!N144</f>
        <v>0</v>
      </c>
      <c r="T97" s="264">
        <f>AU!Q144</f>
        <v>0</v>
      </c>
      <c r="U97" s="265">
        <f>AU!T144</f>
        <v>0</v>
      </c>
      <c r="V97" s="264">
        <f>AU!W144</f>
        <v>0</v>
      </c>
      <c r="W97" s="264">
        <f>AU!Z144</f>
        <v>0</v>
      </c>
      <c r="X97" s="264">
        <f>AU!AC144</f>
        <v>0</v>
      </c>
      <c r="Y97" s="264">
        <f>AU!AF144</f>
        <v>0</v>
      </c>
      <c r="Z97" s="264">
        <f>AU!AI144</f>
        <v>0</v>
      </c>
      <c r="AA97" s="264">
        <f>AU!AL144</f>
        <v>0</v>
      </c>
      <c r="AB97" s="337">
        <f>AU!AO144</f>
        <v>0</v>
      </c>
      <c r="AC97" s="266">
        <f t="shared" si="15"/>
        <v>0</v>
      </c>
    </row>
    <row r="98" spans="2:29" hidden="1" outlineLevel="2" x14ac:dyDescent="0.2">
      <c r="B98" s="151" t="str">
        <f>AU!C117</f>
        <v xml:space="preserve"> - </v>
      </c>
      <c r="C98" s="152" t="str">
        <f>IF(AU!F117=0,"",AU!F117)</f>
        <v/>
      </c>
      <c r="D98" s="148">
        <f>AU!N117</f>
        <v>0</v>
      </c>
      <c r="E98" s="149">
        <f>AU!Q117</f>
        <v>0</v>
      </c>
      <c r="F98" s="149">
        <f>AU!T117</f>
        <v>0</v>
      </c>
      <c r="G98" s="149">
        <f>AU!W117</f>
        <v>0</v>
      </c>
      <c r="H98" s="149">
        <f>AU!Z117</f>
        <v>0</v>
      </c>
      <c r="I98" s="149">
        <f>AU!AC117</f>
        <v>0</v>
      </c>
      <c r="J98" s="149">
        <f>AU!AF117</f>
        <v>0</v>
      </c>
      <c r="K98" s="149">
        <f>AU!AI117</f>
        <v>0</v>
      </c>
      <c r="L98" s="149">
        <f>AU!AL117</f>
        <v>0</v>
      </c>
      <c r="M98" s="149">
        <f>AU!AO117</f>
        <v>0</v>
      </c>
      <c r="N98" s="155">
        <f t="shared" si="17"/>
        <v>0</v>
      </c>
      <c r="Q98" s="267" t="str">
        <f>AU!C145</f>
        <v xml:space="preserve"> - </v>
      </c>
      <c r="R98" s="330" t="str">
        <f>IF(AU!F145=0,"",AU!F145)</f>
        <v/>
      </c>
      <c r="S98" s="263">
        <f>AU!N145</f>
        <v>0</v>
      </c>
      <c r="T98" s="264">
        <f>AU!Q145</f>
        <v>0</v>
      </c>
      <c r="U98" s="265">
        <f>AU!T145</f>
        <v>0</v>
      </c>
      <c r="V98" s="264">
        <f>AU!W145</f>
        <v>0</v>
      </c>
      <c r="W98" s="264">
        <f>AU!Z145</f>
        <v>0</v>
      </c>
      <c r="X98" s="264">
        <f>AU!AC145</f>
        <v>0</v>
      </c>
      <c r="Y98" s="264">
        <f>AU!AF145</f>
        <v>0</v>
      </c>
      <c r="Z98" s="264">
        <f>AU!AI145</f>
        <v>0</v>
      </c>
      <c r="AA98" s="264">
        <f>AU!AL145</f>
        <v>0</v>
      </c>
      <c r="AB98" s="337">
        <f>AU!AO145</f>
        <v>0</v>
      </c>
      <c r="AC98" s="266">
        <f t="shared" si="15"/>
        <v>0</v>
      </c>
    </row>
    <row r="99" spans="2:29" hidden="1" outlineLevel="2" x14ac:dyDescent="0.2">
      <c r="B99" s="151" t="str">
        <f>AU!C118</f>
        <v xml:space="preserve"> - </v>
      </c>
      <c r="C99" s="152" t="str">
        <f>IF(AU!F118=0,"",AU!F118)</f>
        <v/>
      </c>
      <c r="D99" s="153">
        <f>AU!N118</f>
        <v>0</v>
      </c>
      <c r="E99" s="154">
        <f>AU!Q118</f>
        <v>0</v>
      </c>
      <c r="F99" s="154">
        <f>AU!T118</f>
        <v>0</v>
      </c>
      <c r="G99" s="154">
        <f>AU!W118</f>
        <v>0</v>
      </c>
      <c r="H99" s="154">
        <f>AU!Z118</f>
        <v>0</v>
      </c>
      <c r="I99" s="154">
        <f>AU!AC118</f>
        <v>0</v>
      </c>
      <c r="J99" s="154">
        <f>AU!AF118</f>
        <v>0</v>
      </c>
      <c r="K99" s="154">
        <f>AU!AI118</f>
        <v>0</v>
      </c>
      <c r="L99" s="154">
        <f>AU!AL118</f>
        <v>0</v>
      </c>
      <c r="M99" s="154">
        <f>AU!AO118</f>
        <v>0</v>
      </c>
      <c r="N99" s="155">
        <f t="shared" ref="N99" si="18">SUM(D99:M99)</f>
        <v>0</v>
      </c>
      <c r="Q99" s="267" t="str">
        <f>AU!C146</f>
        <v xml:space="preserve"> - </v>
      </c>
      <c r="R99" s="330" t="str">
        <f>IF(AU!F146=0,"",AU!F146)</f>
        <v/>
      </c>
      <c r="S99" s="269">
        <f>AU!N146</f>
        <v>0</v>
      </c>
      <c r="T99" s="270">
        <f>AU!Q146</f>
        <v>0</v>
      </c>
      <c r="U99" s="335">
        <f>AU!T146</f>
        <v>0</v>
      </c>
      <c r="V99" s="270">
        <f>AU!W146</f>
        <v>0</v>
      </c>
      <c r="W99" s="270">
        <f>AU!Z146</f>
        <v>0</v>
      </c>
      <c r="X99" s="270">
        <f>AU!AC146</f>
        <v>0</v>
      </c>
      <c r="Y99" s="270">
        <f>AU!AF146</f>
        <v>0</v>
      </c>
      <c r="Z99" s="270">
        <f>AU!AI146</f>
        <v>0</v>
      </c>
      <c r="AA99" s="270">
        <f>AU!AL146</f>
        <v>0</v>
      </c>
      <c r="AB99" s="336">
        <f>AU!AO146</f>
        <v>0</v>
      </c>
      <c r="AC99" s="271">
        <f t="shared" si="15"/>
        <v>0</v>
      </c>
    </row>
    <row r="100" spans="2:29" ht="16" outlineLevel="1" collapsed="1" thickBot="1" x14ac:dyDescent="0.25">
      <c r="B100" s="151" t="str">
        <f>AU!C119</f>
        <v>Tuition fee</v>
      </c>
      <c r="C100" s="152" t="str">
        <f>IF(AU!F119=0,"",AU!F119)</f>
        <v/>
      </c>
      <c r="D100" s="153">
        <f>AU!N119</f>
        <v>40000</v>
      </c>
      <c r="E100" s="154">
        <f>AU!Q119</f>
        <v>80000</v>
      </c>
      <c r="F100" s="154">
        <f>AU!T119</f>
        <v>120000</v>
      </c>
      <c r="G100" s="154">
        <f>AU!W119</f>
        <v>120000</v>
      </c>
      <c r="H100" s="154">
        <f>AU!Z119</f>
        <v>80000</v>
      </c>
      <c r="I100" s="154">
        <f>AU!AC119</f>
        <v>40000</v>
      </c>
      <c r="J100" s="154">
        <f>AU!AF119</f>
        <v>0</v>
      </c>
      <c r="K100" s="154">
        <f>AU!AI119</f>
        <v>0</v>
      </c>
      <c r="L100" s="154">
        <f>AU!AL119</f>
        <v>0</v>
      </c>
      <c r="M100" s="154">
        <f>AU!AO119</f>
        <v>0</v>
      </c>
      <c r="N100" s="155">
        <f t="shared" si="17"/>
        <v>480000</v>
      </c>
      <c r="Q100" s="267" t="str">
        <f>AU!C147</f>
        <v xml:space="preserve">Tuition fee </v>
      </c>
      <c r="R100" s="330" t="str">
        <f>IF(AU!F147=0,"",AU!F147)</f>
        <v/>
      </c>
      <c r="S100" s="263">
        <f>AU!N147</f>
        <v>0</v>
      </c>
      <c r="T100" s="264">
        <f>AU!Q147</f>
        <v>0</v>
      </c>
      <c r="U100" s="265">
        <f>AU!T147</f>
        <v>0</v>
      </c>
      <c r="V100" s="264">
        <f>AU!W147</f>
        <v>0</v>
      </c>
      <c r="W100" s="264">
        <f>AU!Z147</f>
        <v>0</v>
      </c>
      <c r="X100" s="264">
        <f>AU!AC147</f>
        <v>0</v>
      </c>
      <c r="Y100" s="264">
        <f>AU!AF147</f>
        <v>0</v>
      </c>
      <c r="Z100" s="264">
        <f>AU!AI147</f>
        <v>0</v>
      </c>
      <c r="AA100" s="264">
        <f>AU!AL147</f>
        <v>0</v>
      </c>
      <c r="AB100" s="337">
        <f>AU!AO147</f>
        <v>0</v>
      </c>
      <c r="AC100" s="266">
        <f t="shared" si="15"/>
        <v>0</v>
      </c>
    </row>
    <row r="101" spans="2:29" ht="16" hidden="1" outlineLevel="2" thickBot="1" x14ac:dyDescent="0.25">
      <c r="B101" s="599" t="str">
        <f>AU!C120</f>
        <v>Bench fee</v>
      </c>
      <c r="C101" s="152" t="str">
        <f>IF(AU!J120=0,"",AU!J120)</f>
        <v/>
      </c>
      <c r="D101" s="597">
        <f>AU!N120</f>
        <v>0</v>
      </c>
      <c r="E101" s="598">
        <f>AU!Q120</f>
        <v>0</v>
      </c>
      <c r="F101" s="598">
        <f>AU!T120</f>
        <v>0</v>
      </c>
      <c r="G101" s="598">
        <f>AU!W120</f>
        <v>0</v>
      </c>
      <c r="H101" s="598">
        <f>AU!Z120</f>
        <v>0</v>
      </c>
      <c r="I101" s="600">
        <f>AU!AC120</f>
        <v>0</v>
      </c>
      <c r="J101" s="600">
        <f>AU!AF120</f>
        <v>0</v>
      </c>
      <c r="K101" s="600">
        <f>AU!AI120</f>
        <v>0</v>
      </c>
      <c r="L101" s="600">
        <f>AU!AL120</f>
        <v>0</v>
      </c>
      <c r="M101" s="600">
        <f>AU!AO120</f>
        <v>0</v>
      </c>
      <c r="N101" s="601">
        <f t="shared" ref="N101" si="19">SUM(D101:M101)</f>
        <v>0</v>
      </c>
      <c r="Q101" s="602" t="str">
        <f>AU!C148</f>
        <v>Bench fee</v>
      </c>
      <c r="R101" s="330" t="str">
        <f>IF(AU!F148=0,"",AU!F148)</f>
        <v/>
      </c>
      <c r="S101" s="338">
        <f>AU!N148</f>
        <v>0</v>
      </c>
      <c r="T101" s="334">
        <f>AU!Q148</f>
        <v>0</v>
      </c>
      <c r="U101" s="339">
        <f>AU!T148</f>
        <v>0</v>
      </c>
      <c r="V101" s="334">
        <f>AU!W148</f>
        <v>0</v>
      </c>
      <c r="W101" s="334">
        <f>AU!Z148</f>
        <v>0</v>
      </c>
      <c r="X101" s="334">
        <f>AU!AC148</f>
        <v>0</v>
      </c>
      <c r="Y101" s="334">
        <f>AU!AF148</f>
        <v>0</v>
      </c>
      <c r="Z101" s="334">
        <f>AU!AI148</f>
        <v>0</v>
      </c>
      <c r="AA101" s="334">
        <f>AU!AL148</f>
        <v>0</v>
      </c>
      <c r="AB101" s="340">
        <f>AU!AO148</f>
        <v>0</v>
      </c>
      <c r="AC101" s="324">
        <f t="shared" si="15"/>
        <v>0</v>
      </c>
    </row>
    <row r="102" spans="2:29" ht="16" outlineLevel="1" collapsed="1" thickBot="1" x14ac:dyDescent="0.25">
      <c r="B102" s="158" t="s">
        <v>120</v>
      </c>
      <c r="C102" s="159"/>
      <c r="D102" s="169">
        <f>SUM(D76:D101)</f>
        <v>275000</v>
      </c>
      <c r="E102" s="170">
        <f t="shared" ref="E102:N102" si="20">SUM(E76:E101)</f>
        <v>340000</v>
      </c>
      <c r="F102" s="170">
        <f t="shared" si="20"/>
        <v>410000</v>
      </c>
      <c r="G102" s="170">
        <f t="shared" si="20"/>
        <v>240000</v>
      </c>
      <c r="H102" s="170">
        <f t="shared" si="20"/>
        <v>320000</v>
      </c>
      <c r="I102" s="170">
        <f t="shared" si="20"/>
        <v>230000</v>
      </c>
      <c r="J102" s="170">
        <f t="shared" si="20"/>
        <v>0</v>
      </c>
      <c r="K102" s="170">
        <f t="shared" si="20"/>
        <v>0</v>
      </c>
      <c r="L102" s="170">
        <f t="shared" si="20"/>
        <v>0</v>
      </c>
      <c r="M102" s="170">
        <f t="shared" si="20"/>
        <v>0</v>
      </c>
      <c r="N102" s="160">
        <f t="shared" si="20"/>
        <v>1815000</v>
      </c>
      <c r="Q102" s="272" t="s">
        <v>120</v>
      </c>
      <c r="R102" s="273"/>
      <c r="S102" s="692">
        <f t="shared" ref="S102:X102" si="21">SUM(S76:S101)</f>
        <v>0</v>
      </c>
      <c r="T102" s="693">
        <f t="shared" si="21"/>
        <v>0</v>
      </c>
      <c r="U102" s="693">
        <f t="shared" si="21"/>
        <v>0</v>
      </c>
      <c r="V102" s="693">
        <f t="shared" si="21"/>
        <v>0</v>
      </c>
      <c r="W102" s="693">
        <f t="shared" si="21"/>
        <v>0</v>
      </c>
      <c r="X102" s="693">
        <f t="shared" si="21"/>
        <v>0</v>
      </c>
      <c r="Y102" s="693">
        <f t="shared" ref="Y102:AB102" si="22">SUM(Y98:Y100)</f>
        <v>0</v>
      </c>
      <c r="Z102" s="693">
        <f t="shared" si="22"/>
        <v>0</v>
      </c>
      <c r="AA102" s="693">
        <f t="shared" si="22"/>
        <v>0</v>
      </c>
      <c r="AB102" s="693">
        <f t="shared" si="22"/>
        <v>0</v>
      </c>
      <c r="AC102" s="274">
        <f>SUM(AC76:AC101)</f>
        <v>0</v>
      </c>
    </row>
    <row r="103" spans="2:29" ht="17" thickTop="1" thickBot="1" x14ac:dyDescent="0.25"/>
    <row r="104" spans="2:29" ht="16" thickBot="1" x14ac:dyDescent="0.25">
      <c r="B104" s="474" t="str">
        <f>"Total "&amp;AU!B152</f>
        <v>Total Applied for from the foundation</v>
      </c>
      <c r="C104" s="475"/>
      <c r="D104" s="476" t="str">
        <f>AU!L15</f>
        <v>Year 1</v>
      </c>
      <c r="E104" s="477" t="str">
        <f>AU!O15</f>
        <v>Year 2</v>
      </c>
      <c r="F104" s="477" t="str">
        <f>AU!R15</f>
        <v>Year 3</v>
      </c>
      <c r="G104" s="477" t="str">
        <f>AU!U15</f>
        <v>Year 4</v>
      </c>
      <c r="H104" s="477" t="str">
        <f>AU!X15</f>
        <v>Year 5</v>
      </c>
      <c r="I104" s="477" t="str">
        <f>AU!AA15</f>
        <v>Year 6</v>
      </c>
      <c r="J104" s="477" t="str">
        <f>AU!AD15</f>
        <v>Year 7</v>
      </c>
      <c r="K104" s="477" t="str">
        <f>AU!AG15</f>
        <v>Year 8</v>
      </c>
      <c r="L104" s="477" t="str">
        <f>AU!AJ15</f>
        <v>Year 9</v>
      </c>
      <c r="M104" s="478" t="str">
        <f>AU!AM15</f>
        <v>Year 10</v>
      </c>
      <c r="N104" s="479" t="s">
        <v>120</v>
      </c>
    </row>
    <row r="105" spans="2:29" x14ac:dyDescent="0.2">
      <c r="B105" s="774" t="str">
        <f>AU!C153</f>
        <v>Direct costs (salary + project costs)</v>
      </c>
      <c r="C105" s="775"/>
      <c r="D105" s="480">
        <f>AU!N153</f>
        <v>1204348.3999999999</v>
      </c>
      <c r="E105" s="481">
        <f>AU!Q153</f>
        <v>2254457.7039999999</v>
      </c>
      <c r="F105" s="481">
        <f>AU!T153</f>
        <v>3016678.4039599998</v>
      </c>
      <c r="G105" s="481">
        <f>AU!W153</f>
        <v>2563185.2448971998</v>
      </c>
      <c r="H105" s="481">
        <f>AU!Z153</f>
        <v>1666890.9904847117</v>
      </c>
      <c r="I105" s="481">
        <f>AU!AC153</f>
        <v>923648.86009962671</v>
      </c>
      <c r="J105" s="481">
        <f>AU!AF153</f>
        <v>0</v>
      </c>
      <c r="K105" s="481">
        <f>AU!AI153</f>
        <v>0</v>
      </c>
      <c r="L105" s="481">
        <f>AU!AL153</f>
        <v>0</v>
      </c>
      <c r="M105" s="481">
        <f>AU!AO153</f>
        <v>0</v>
      </c>
      <c r="N105" s="482">
        <f>SUM(D105:M105)</f>
        <v>11629209.603441538</v>
      </c>
      <c r="Q105" s="253" t="str">
        <f>"Total "&amp;AU!B159</f>
        <v>Total Co-financing</v>
      </c>
      <c r="R105" s="199"/>
      <c r="S105" s="309" t="str">
        <f>AU!L15</f>
        <v>Year 1</v>
      </c>
      <c r="T105" s="310" t="str">
        <f>AU!O15</f>
        <v>Year 2</v>
      </c>
      <c r="U105" s="310" t="str">
        <f>AU!R15</f>
        <v>Year 3</v>
      </c>
      <c r="V105" s="310" t="str">
        <f>AU!U15</f>
        <v>Year 4</v>
      </c>
      <c r="W105" s="310" t="str">
        <f>AU!X15</f>
        <v>Year 5</v>
      </c>
      <c r="X105" s="310" t="str">
        <f>AU!AA15</f>
        <v>Year 6</v>
      </c>
      <c r="Y105" s="310" t="str">
        <f>AU!AD15</f>
        <v>Year 7</v>
      </c>
      <c r="Z105" s="310" t="str">
        <f>AU!AG15</f>
        <v>Year 8</v>
      </c>
      <c r="AA105" s="310" t="str">
        <f>AU!AJ15</f>
        <v>Year 9</v>
      </c>
      <c r="AB105" s="311" t="str">
        <f>AU!AM15</f>
        <v>Year 10</v>
      </c>
      <c r="AC105" s="254" t="s">
        <v>120</v>
      </c>
    </row>
    <row r="106" spans="2:29" x14ac:dyDescent="0.2">
      <c r="B106" s="483" t="str">
        <f>AU!C155</f>
        <v xml:space="preserve">Project supplement </v>
      </c>
      <c r="C106" s="590" t="str">
        <f>IFERROR(ROUND(AU!$AQ$155*100,0)&amp;"% (of "&amp;IF(AU!F180="Total","direct costs+proj.suppl.)","direct costs)"),"")</f>
        <v>24% (of direct costs+proj.suppl.)</v>
      </c>
      <c r="D106" s="480">
        <f>AU!N155</f>
        <v>375000</v>
      </c>
      <c r="E106" s="481">
        <f>AU!Q155</f>
        <v>750000</v>
      </c>
      <c r="F106" s="481">
        <f>AU!T155</f>
        <v>1000000</v>
      </c>
      <c r="G106" s="481">
        <f>AU!W155</f>
        <v>875000</v>
      </c>
      <c r="H106" s="481">
        <f>AU!Z155</f>
        <v>500000</v>
      </c>
      <c r="I106" s="481">
        <f>AU!AC155</f>
        <v>250000</v>
      </c>
      <c r="J106" s="481">
        <f>AU!AF155</f>
        <v>0</v>
      </c>
      <c r="K106" s="481">
        <f>AU!AI155</f>
        <v>0</v>
      </c>
      <c r="L106" s="481">
        <f>AU!AL155</f>
        <v>0</v>
      </c>
      <c r="M106" s="481">
        <f>AU!AO155</f>
        <v>0</v>
      </c>
      <c r="N106" s="588">
        <f>SUM(D106:M106)</f>
        <v>3750000</v>
      </c>
      <c r="O106" s="589"/>
      <c r="Q106" s="770" t="str">
        <f>AU!C153</f>
        <v>Direct costs (salary + project costs)</v>
      </c>
      <c r="R106" s="771"/>
      <c r="S106" s="275">
        <f>SUM(AU!N160:N162)</f>
        <v>0</v>
      </c>
      <c r="T106" s="276">
        <f>SUM(AU!Q160:Q162)</f>
        <v>0</v>
      </c>
      <c r="U106" s="276">
        <f>SUM(AU!T160:T162)</f>
        <v>0</v>
      </c>
      <c r="V106" s="276">
        <f>SUM(AU!W160:W162)</f>
        <v>0</v>
      </c>
      <c r="W106" s="276">
        <f>SUM(AU!Z160:Z162)</f>
        <v>0</v>
      </c>
      <c r="X106" s="276">
        <f>SUM(AU!AC160:AC162)</f>
        <v>0</v>
      </c>
      <c r="Y106" s="276">
        <f>SUM(AU!AF160:AF162)</f>
        <v>0</v>
      </c>
      <c r="Z106" s="276">
        <f>SUM(AU!AI160:AI162)</f>
        <v>0</v>
      </c>
      <c r="AA106" s="276">
        <f>SUM(AU!AL160:AL162)</f>
        <v>0</v>
      </c>
      <c r="AB106" s="276">
        <f>SUM(AU!AO160:AO162)</f>
        <v>0</v>
      </c>
      <c r="AC106" s="277">
        <f>SUM(S106:AB106)</f>
        <v>0</v>
      </c>
    </row>
    <row r="107" spans="2:29" ht="16" thickBot="1" x14ac:dyDescent="0.25">
      <c r="B107" s="484" t="str">
        <f>AU!C156</f>
        <v>Administrative expenses</v>
      </c>
      <c r="C107" s="485">
        <f>OHPctPartner1</f>
        <v>0</v>
      </c>
      <c r="D107" s="486">
        <f>AU!N156</f>
        <v>0</v>
      </c>
      <c r="E107" s="487">
        <f>AU!Q156</f>
        <v>0</v>
      </c>
      <c r="F107" s="487">
        <f>AU!T156</f>
        <v>0</v>
      </c>
      <c r="G107" s="487">
        <f>AU!W156</f>
        <v>0</v>
      </c>
      <c r="H107" s="487">
        <f>AU!Z156</f>
        <v>0</v>
      </c>
      <c r="I107" s="487">
        <f>AU!AC156</f>
        <v>0</v>
      </c>
      <c r="J107" s="487">
        <f>AU!AF156</f>
        <v>0</v>
      </c>
      <c r="K107" s="487">
        <f>AU!AI156</f>
        <v>0</v>
      </c>
      <c r="L107" s="487">
        <f>AU!AL156</f>
        <v>0</v>
      </c>
      <c r="M107" s="487">
        <f>AU!AO156</f>
        <v>0</v>
      </c>
      <c r="N107" s="488">
        <f>SUM(D107:M107)</f>
        <v>0</v>
      </c>
      <c r="Q107" s="278" t="str">
        <f>AU!C156</f>
        <v>Administrative expenses</v>
      </c>
      <c r="R107" s="279">
        <f>OHPctCoFinancePartner1</f>
        <v>0</v>
      </c>
      <c r="S107" s="280">
        <f>AU!N163</f>
        <v>0</v>
      </c>
      <c r="T107" s="281">
        <f>AU!Q163</f>
        <v>0</v>
      </c>
      <c r="U107" s="281">
        <f>AU!T163</f>
        <v>0</v>
      </c>
      <c r="V107" s="281">
        <f>AU!W163</f>
        <v>0</v>
      </c>
      <c r="W107" s="281">
        <f>AU!Z163</f>
        <v>0</v>
      </c>
      <c r="X107" s="281">
        <f>AU!AC163</f>
        <v>0</v>
      </c>
      <c r="Y107" s="281">
        <f>AU!AF163</f>
        <v>0</v>
      </c>
      <c r="Z107" s="281">
        <f>AU!AI163</f>
        <v>0</v>
      </c>
      <c r="AA107" s="281">
        <f>AU!AL163</f>
        <v>0</v>
      </c>
      <c r="AB107" s="281">
        <f>AU!AO163</f>
        <v>0</v>
      </c>
      <c r="AC107" s="282">
        <f>SUM(S107:AB107)</f>
        <v>0</v>
      </c>
    </row>
    <row r="108" spans="2:29" ht="16" thickBot="1" x14ac:dyDescent="0.25">
      <c r="B108" s="489" t="s">
        <v>120</v>
      </c>
      <c r="C108" s="490"/>
      <c r="D108" s="491">
        <f t="shared" ref="D108:L108" si="23">SUM(D105:D107)</f>
        <v>1579348.4</v>
      </c>
      <c r="E108" s="491">
        <f t="shared" si="23"/>
        <v>3004457.7039999999</v>
      </c>
      <c r="F108" s="491">
        <f t="shared" si="23"/>
        <v>4016678.4039599998</v>
      </c>
      <c r="G108" s="491">
        <f t="shared" si="23"/>
        <v>3438185.2448971998</v>
      </c>
      <c r="H108" s="491">
        <f t="shared" si="23"/>
        <v>2166890.9904847117</v>
      </c>
      <c r="I108" s="491">
        <f t="shared" si="23"/>
        <v>1173648.8600996267</v>
      </c>
      <c r="J108" s="491">
        <f t="shared" si="23"/>
        <v>0</v>
      </c>
      <c r="K108" s="491">
        <f t="shared" si="23"/>
        <v>0</v>
      </c>
      <c r="L108" s="491">
        <f t="shared" si="23"/>
        <v>0</v>
      </c>
      <c r="M108" s="491">
        <f>SUM(M105:M107)</f>
        <v>0</v>
      </c>
      <c r="N108" s="492">
        <f>SUM(N105:N107)</f>
        <v>15379209.603441538</v>
      </c>
      <c r="Q108" s="283" t="s">
        <v>120</v>
      </c>
      <c r="R108" s="284" t="str" cm="1">
        <f t="array" ref="R108">IFERROR(ROUND(SUM((AC106:AC107)/N111)*100,0) &amp;"% (of total costs)","")</f>
        <v>0% (of total costs)</v>
      </c>
      <c r="S108" s="285">
        <f t="shared" ref="S108:Z108" si="24">SUM(S106:S107)</f>
        <v>0</v>
      </c>
      <c r="T108" s="285">
        <f t="shared" si="24"/>
        <v>0</v>
      </c>
      <c r="U108" s="285">
        <f t="shared" si="24"/>
        <v>0</v>
      </c>
      <c r="V108" s="285">
        <f t="shared" si="24"/>
        <v>0</v>
      </c>
      <c r="W108" s="285">
        <f t="shared" si="24"/>
        <v>0</v>
      </c>
      <c r="X108" s="285">
        <f t="shared" si="24"/>
        <v>0</v>
      </c>
      <c r="Y108" s="285">
        <f t="shared" si="24"/>
        <v>0</v>
      </c>
      <c r="Z108" s="285">
        <f t="shared" si="24"/>
        <v>0</v>
      </c>
      <c r="AA108" s="285">
        <f>SUM(AA106:AA107)</f>
        <v>0</v>
      </c>
      <c r="AB108" s="285">
        <f>SUM(AB106:AB107)</f>
        <v>0</v>
      </c>
      <c r="AC108" s="315">
        <f>SUM(AC106:AC107)</f>
        <v>0</v>
      </c>
    </row>
    <row r="109" spans="2:29" ht="17" thickTop="1" thickBot="1" x14ac:dyDescent="0.25"/>
    <row r="110" spans="2:29" x14ac:dyDescent="0.2">
      <c r="B110" s="506" t="str">
        <f>AU!B166</f>
        <v>Total costs (Applied for+co-financing)</v>
      </c>
      <c r="C110" s="507"/>
      <c r="D110" s="508" t="str">
        <f>AU!L15</f>
        <v>Year 1</v>
      </c>
      <c r="E110" s="509" t="str">
        <f>AU!O15</f>
        <v>Year 2</v>
      </c>
      <c r="F110" s="509" t="str">
        <f>AU!R15</f>
        <v>Year 3</v>
      </c>
      <c r="G110" s="509" t="str">
        <f>AU!U15</f>
        <v>Year 4</v>
      </c>
      <c r="H110" s="509" t="str">
        <f>AU!X15</f>
        <v>Year 5</v>
      </c>
      <c r="I110" s="509" t="str">
        <f>AU!AA15</f>
        <v>Year 6</v>
      </c>
      <c r="J110" s="509" t="str">
        <f>AU!AD15</f>
        <v>Year 7</v>
      </c>
      <c r="K110" s="509" t="str">
        <f>AU!AG15</f>
        <v>Year 8</v>
      </c>
      <c r="L110" s="509" t="str">
        <f>AU!AJ15</f>
        <v>Year 9</v>
      </c>
      <c r="M110" s="510" t="str">
        <f>AU!AM15</f>
        <v>Year 10</v>
      </c>
      <c r="N110" s="511" t="s">
        <v>120</v>
      </c>
      <c r="Q110" s="286" t="s">
        <v>122</v>
      </c>
      <c r="R110" s="287"/>
      <c r="S110" s="312" t="str">
        <f>AU!L15</f>
        <v>Year 1</v>
      </c>
      <c r="T110" s="313" t="str">
        <f>AU!O15</f>
        <v>Year 2</v>
      </c>
      <c r="U110" s="313" t="str">
        <f>AU!R15</f>
        <v>Year 3</v>
      </c>
      <c r="V110" s="313" t="str">
        <f>AU!U15</f>
        <v>Year 4</v>
      </c>
      <c r="W110" s="313" t="str">
        <f>AU!X15</f>
        <v>Year 5</v>
      </c>
      <c r="X110" s="313" t="str">
        <f>AU!AA15</f>
        <v>Year 6</v>
      </c>
      <c r="Y110" s="313" t="str">
        <f>AU!AD15</f>
        <v>Year 7</v>
      </c>
      <c r="Z110" s="313" t="str">
        <f>AU!AG15</f>
        <v>Year 8</v>
      </c>
      <c r="AA110" s="313" t="str">
        <f>AU!AJ15</f>
        <v>Year 9</v>
      </c>
      <c r="AB110" s="314" t="str">
        <f>AU!AM15</f>
        <v>Year 10</v>
      </c>
      <c r="AC110" s="288" t="s">
        <v>120</v>
      </c>
    </row>
    <row r="111" spans="2:29" ht="16" thickBot="1" x14ac:dyDescent="0.25">
      <c r="B111" s="772"/>
      <c r="C111" s="773"/>
      <c r="D111" s="512">
        <f t="shared" ref="D111:M111" si="25">D108+S108</f>
        <v>1579348.4</v>
      </c>
      <c r="E111" s="513">
        <f t="shared" si="25"/>
        <v>3004457.7039999999</v>
      </c>
      <c r="F111" s="513">
        <f t="shared" si="25"/>
        <v>4016678.4039599998</v>
      </c>
      <c r="G111" s="513">
        <f t="shared" si="25"/>
        <v>3438185.2448971998</v>
      </c>
      <c r="H111" s="513">
        <f t="shared" si="25"/>
        <v>2166890.9904847117</v>
      </c>
      <c r="I111" s="513">
        <f t="shared" si="25"/>
        <v>1173648.8600996267</v>
      </c>
      <c r="J111" s="513">
        <f t="shared" si="25"/>
        <v>0</v>
      </c>
      <c r="K111" s="513">
        <f t="shared" si="25"/>
        <v>0</v>
      </c>
      <c r="L111" s="513">
        <f t="shared" si="25"/>
        <v>0</v>
      </c>
      <c r="M111" s="513">
        <f t="shared" si="25"/>
        <v>0</v>
      </c>
      <c r="N111" s="514">
        <f>SUM(D111:M111)</f>
        <v>15379209.603441538</v>
      </c>
      <c r="Q111" s="776" t="str">
        <f ca="1">ROUND(AU!$AQ$154*100,0)&amp;"% (of "&amp;IF(AU!F177="Total","direct costs+proj.suppl.","direct costs")&amp;IF(AU!F174="Yes"," excl. equipment","")&amp;")"</f>
        <v>0% (of direct costs+proj.suppl. excl. equipment)</v>
      </c>
      <c r="R111" s="777"/>
      <c r="S111" s="580">
        <f>AU!L154</f>
        <v>0</v>
      </c>
      <c r="T111" s="581">
        <f>AU!O154</f>
        <v>0</v>
      </c>
      <c r="U111" s="581">
        <f>AU!R154</f>
        <v>0</v>
      </c>
      <c r="V111" s="581">
        <f>AU!U154</f>
        <v>0</v>
      </c>
      <c r="W111" s="581">
        <f>AU!X154</f>
        <v>0</v>
      </c>
      <c r="X111" s="581">
        <f>AU!AA154</f>
        <v>0</v>
      </c>
      <c r="Y111" s="581">
        <f>AU!AD154</f>
        <v>0</v>
      </c>
      <c r="Z111" s="581">
        <f>AU!AG154</f>
        <v>0</v>
      </c>
      <c r="AA111" s="581">
        <f>AU!AJ154</f>
        <v>0</v>
      </c>
      <c r="AB111" s="581">
        <f>AU!AM154</f>
        <v>0</v>
      </c>
      <c r="AC111" s="582">
        <f>AU!AP154</f>
        <v>0</v>
      </c>
    </row>
    <row r="112" spans="2:29" ht="16" thickTop="1" x14ac:dyDescent="0.2"/>
  </sheetData>
  <sheetProtection sheet="1" formatColumns="0" formatRows="0"/>
  <mergeCells count="4">
    <mergeCell ref="Q106:R106"/>
    <mergeCell ref="B111:C111"/>
    <mergeCell ref="B105:C105"/>
    <mergeCell ref="Q111:R111"/>
  </mergeCells>
  <conditionalFormatting sqref="D4:M19 D21:M36 D40:M55 D57:M72 D76:M91 D93:M101">
    <cfRule type="cellIs" dxfId="2" priority="8" operator="equal">
      <formula>0</formula>
    </cfRule>
  </conditionalFormatting>
  <conditionalFormatting sqref="S4:AB19 S21:AB36 S40:AB55 S57:AB72 S76:AB91 S93:AB101">
    <cfRule type="cellIs" dxfId="1" priority="7" operator="equal">
      <formula>0</formula>
    </cfRule>
  </conditionalFormatting>
  <pageMargins left="0.7" right="0.7" top="0.75" bottom="0.75" header="0.3" footer="0.3"/>
  <ignoredErrors>
    <ignoredError sqref="W73:X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F4789-C53B-4189-9A82-82D661EC7638}">
  <sheetPr>
    <tabColor theme="9" tint="0.59999389629810485"/>
  </sheetPr>
  <dimension ref="A1:AZ74"/>
  <sheetViews>
    <sheetView topLeftCell="L26" zoomScale="80" zoomScaleNormal="80" workbookViewId="0">
      <selection activeCell="B2" sqref="B2:C2"/>
    </sheetView>
  </sheetViews>
  <sheetFormatPr baseColWidth="10" defaultColWidth="8.83203125" defaultRowHeight="15" outlineLevelRow="1" outlineLevelCol="1" x14ac:dyDescent="0.2"/>
  <cols>
    <col min="1" max="1" width="6" customWidth="1"/>
    <col min="2" max="2" width="48.83203125" customWidth="1"/>
    <col min="3" max="3" width="27.1640625" customWidth="1"/>
    <col min="4" max="4" width="18.5" customWidth="1"/>
    <col min="5" max="15" width="16.1640625" customWidth="1"/>
    <col min="16" max="23" width="16.1640625" hidden="1" customWidth="1" outlineLevel="1"/>
    <col min="24" max="24" width="6.33203125" customWidth="1" collapsed="1"/>
    <col min="25" max="25" width="14.6640625" customWidth="1"/>
    <col min="26" max="26" width="12.5" customWidth="1"/>
    <col min="27" max="27" width="6.5" customWidth="1"/>
    <col min="28" max="28" width="13" customWidth="1"/>
    <col min="29" max="29" width="11.33203125" customWidth="1"/>
    <col min="30" max="30" width="7" customWidth="1"/>
    <col min="31" max="31" width="13.6640625" customWidth="1"/>
    <col min="32" max="32" width="11.33203125" customWidth="1"/>
    <col min="33" max="33" width="6.33203125" customWidth="1"/>
    <col min="34" max="34" width="13.83203125" customWidth="1"/>
    <col min="35" max="49" width="0" hidden="1" customWidth="1"/>
    <col min="50" max="50" width="15.5" customWidth="1"/>
    <col min="51" max="51" width="6.83203125" customWidth="1"/>
    <col min="52" max="52" width="15.1640625" customWidth="1"/>
  </cols>
  <sheetData>
    <row r="1" spans="1:52" ht="19" x14ac:dyDescent="0.2">
      <c r="A1" s="662"/>
      <c r="B1" s="662"/>
      <c r="C1" s="662"/>
      <c r="D1" s="661"/>
      <c r="F1" s="660"/>
      <c r="G1" s="68"/>
      <c r="H1" s="68"/>
      <c r="V1" s="45"/>
      <c r="W1" s="78"/>
      <c r="X1" s="78"/>
      <c r="Y1" s="45"/>
      <c r="Z1" s="78"/>
      <c r="AA1" s="78"/>
      <c r="AB1" s="45"/>
      <c r="AC1" s="78"/>
      <c r="AD1" s="78"/>
      <c r="AE1" s="45"/>
      <c r="AF1" s="78"/>
      <c r="AG1" s="78"/>
      <c r="AH1" s="45"/>
      <c r="AI1" s="78"/>
      <c r="AJ1" s="78"/>
      <c r="AK1" s="45"/>
      <c r="AL1" s="78"/>
      <c r="AM1" s="78"/>
      <c r="AN1" s="45"/>
      <c r="AO1" s="78"/>
      <c r="AP1" s="78"/>
      <c r="AQ1" s="45"/>
      <c r="AR1" s="78"/>
      <c r="AS1" s="78"/>
      <c r="AT1" s="45"/>
      <c r="AU1" s="78"/>
      <c r="AV1" s="78"/>
      <c r="AW1" s="45"/>
      <c r="AX1" s="78"/>
      <c r="AY1" s="78"/>
      <c r="AZ1" s="659"/>
    </row>
    <row r="2" spans="1:52" x14ac:dyDescent="0.2">
      <c r="A2" s="658"/>
      <c r="B2" s="780" t="str">
        <f>"Project title: " &amp; IF(AU!D15=0, "",AU!D15)</f>
        <v xml:space="preserve">Project title: </v>
      </c>
      <c r="C2" s="781"/>
      <c r="D2" s="782" t="str">
        <f>AU!L15</f>
        <v>Year 1</v>
      </c>
      <c r="E2" s="779"/>
      <c r="F2" s="778" t="str">
        <f>AU!O15</f>
        <v>Year 2</v>
      </c>
      <c r="G2" s="779"/>
      <c r="H2" s="778" t="str">
        <f>AU!R15</f>
        <v>Year 3</v>
      </c>
      <c r="I2" s="779"/>
      <c r="J2" s="778" t="str">
        <f>AU!U15</f>
        <v>Year 4</v>
      </c>
      <c r="K2" s="779"/>
      <c r="L2" s="778" t="str">
        <f>AU!X15</f>
        <v>Year 5</v>
      </c>
      <c r="M2" s="779"/>
      <c r="N2" s="778" t="str">
        <f>AU!AA15</f>
        <v>Year 6</v>
      </c>
      <c r="O2" s="779"/>
      <c r="P2" s="778" t="str">
        <f>AU!AD15</f>
        <v>Year 7</v>
      </c>
      <c r="Q2" s="779"/>
      <c r="R2" s="778" t="str">
        <f>AU!AG15</f>
        <v>Year 8</v>
      </c>
      <c r="S2" s="779"/>
      <c r="T2" s="778" t="str">
        <f>AU!AJ15</f>
        <v>Year 9</v>
      </c>
      <c r="U2" s="779"/>
      <c r="V2" s="778" t="str">
        <f>AU!AM15</f>
        <v>Year 10</v>
      </c>
      <c r="W2" s="779"/>
      <c r="X2" s="687"/>
    </row>
    <row r="3" spans="1:52" x14ac:dyDescent="0.2">
      <c r="A3" s="646" t="s">
        <v>123</v>
      </c>
      <c r="B3" s="636" t="s">
        <v>56</v>
      </c>
      <c r="C3" s="636" t="s">
        <v>124</v>
      </c>
      <c r="D3" s="657" t="s">
        <v>125</v>
      </c>
      <c r="E3" s="656" t="s">
        <v>66</v>
      </c>
      <c r="F3" s="657" t="s">
        <v>125</v>
      </c>
      <c r="G3" s="656" t="s">
        <v>66</v>
      </c>
      <c r="H3" s="657" t="s">
        <v>125</v>
      </c>
      <c r="I3" s="656" t="s">
        <v>66</v>
      </c>
      <c r="J3" s="657" t="s">
        <v>125</v>
      </c>
      <c r="K3" s="656" t="s">
        <v>66</v>
      </c>
      <c r="L3" s="657" t="s">
        <v>125</v>
      </c>
      <c r="M3" s="656" t="s">
        <v>66</v>
      </c>
      <c r="N3" s="657" t="s">
        <v>125</v>
      </c>
      <c r="O3" s="656" t="s">
        <v>66</v>
      </c>
      <c r="P3" s="657" t="s">
        <v>125</v>
      </c>
      <c r="Q3" s="656" t="s">
        <v>66</v>
      </c>
      <c r="R3" s="657" t="s">
        <v>125</v>
      </c>
      <c r="S3" s="656" t="s">
        <v>66</v>
      </c>
      <c r="T3" s="657" t="s">
        <v>125</v>
      </c>
      <c r="U3" s="656" t="s">
        <v>66</v>
      </c>
      <c r="V3" s="657" t="s">
        <v>125</v>
      </c>
      <c r="W3" s="656" t="s">
        <v>66</v>
      </c>
      <c r="X3" s="687"/>
    </row>
    <row r="4" spans="1:52" x14ac:dyDescent="0.2">
      <c r="B4" s="642" t="s">
        <v>126</v>
      </c>
      <c r="C4" s="642"/>
      <c r="D4" s="654"/>
      <c r="E4" s="647"/>
      <c r="F4" s="654"/>
      <c r="G4" s="647"/>
      <c r="H4" s="654"/>
      <c r="I4" s="647"/>
      <c r="J4" s="654"/>
      <c r="K4" s="647"/>
      <c r="L4" s="654"/>
      <c r="M4" s="647"/>
      <c r="N4" s="654"/>
      <c r="O4" s="647"/>
      <c r="P4" s="654"/>
      <c r="Q4" s="647"/>
      <c r="R4" s="654"/>
      <c r="S4" s="647"/>
      <c r="T4" s="654"/>
      <c r="U4" s="647"/>
      <c r="V4" s="654"/>
      <c r="W4" s="647"/>
      <c r="X4" s="687"/>
      <c r="Y4" s="653"/>
      <c r="Z4" s="643"/>
      <c r="AA4" s="643"/>
      <c r="AB4" s="643"/>
      <c r="AC4" s="643"/>
    </row>
    <row r="5" spans="1:52" x14ac:dyDescent="0.2">
      <c r="B5" t="str">
        <f>AU!C20</f>
        <v>Postdoc</v>
      </c>
      <c r="C5" t="str">
        <f>IF(AU!F20="","",AU!F20)</f>
        <v/>
      </c>
      <c r="D5" s="652">
        <f>AU!N20</f>
        <v>662001.6</v>
      </c>
      <c r="E5" s="651">
        <f>AU!M20</f>
        <v>1</v>
      </c>
      <c r="F5" s="652">
        <f>AU!Q20</f>
        <v>681861.64800000004</v>
      </c>
      <c r="G5" s="651">
        <f>AU!P20</f>
        <v>1</v>
      </c>
      <c r="H5" s="652">
        <f>AU!T20</f>
        <v>702317.49743999995</v>
      </c>
      <c r="I5" s="651">
        <f>AU!S20</f>
        <v>1</v>
      </c>
      <c r="J5" s="652">
        <f>AU!W20</f>
        <v>0</v>
      </c>
      <c r="K5" s="651">
        <f>AU!V20</f>
        <v>0</v>
      </c>
      <c r="L5" s="652">
        <f>AU!Z20</f>
        <v>0</v>
      </c>
      <c r="M5" s="655">
        <f>AU!Y20</f>
        <v>0</v>
      </c>
      <c r="N5" s="652">
        <f>AU!AC20</f>
        <v>0</v>
      </c>
      <c r="O5" s="655">
        <f>AU!AB20</f>
        <v>0</v>
      </c>
      <c r="P5" s="652">
        <f>AU!AF20</f>
        <v>0</v>
      </c>
      <c r="Q5" s="655">
        <f>AU!AE20</f>
        <v>0</v>
      </c>
      <c r="R5" s="652">
        <f>AU!AI20</f>
        <v>0</v>
      </c>
      <c r="S5" s="655">
        <f>AU!AH20</f>
        <v>0</v>
      </c>
      <c r="T5" s="652">
        <f>AU!AL20</f>
        <v>0</v>
      </c>
      <c r="U5" s="655">
        <f>AU!AK20</f>
        <v>0</v>
      </c>
      <c r="V5" s="652">
        <f>AU!AO20</f>
        <v>0</v>
      </c>
      <c r="W5" s="655">
        <f>AU!AN20</f>
        <v>0</v>
      </c>
      <c r="X5" s="687"/>
      <c r="Y5" s="643"/>
      <c r="Z5" s="643"/>
      <c r="AA5" s="643"/>
      <c r="AB5" s="643"/>
      <c r="AC5" s="643"/>
    </row>
    <row r="6" spans="1:52" x14ac:dyDescent="0.2">
      <c r="B6" t="str">
        <f>AU!C21</f>
        <v>Postdoc</v>
      </c>
      <c r="C6" t="str">
        <f>IF(AU!F21="","",AU!F21)</f>
        <v/>
      </c>
      <c r="D6" s="652">
        <f>AU!N21</f>
        <v>0</v>
      </c>
      <c r="E6" s="651">
        <f>AU!M21</f>
        <v>0</v>
      </c>
      <c r="F6" s="652">
        <f>AU!Q21</f>
        <v>681861.64800000004</v>
      </c>
      <c r="G6" s="651">
        <f>AU!P21</f>
        <v>1</v>
      </c>
      <c r="H6" s="652">
        <f>AU!T21</f>
        <v>702317.49743999995</v>
      </c>
      <c r="I6" s="651">
        <f>AU!S21</f>
        <v>1</v>
      </c>
      <c r="J6" s="652">
        <f>AU!W21</f>
        <v>723387.02236319997</v>
      </c>
      <c r="K6" s="651">
        <f>AU!V21</f>
        <v>1</v>
      </c>
      <c r="L6" s="652">
        <f>AU!Z21</f>
        <v>0</v>
      </c>
      <c r="M6" s="655">
        <f>AU!Y21</f>
        <v>0</v>
      </c>
      <c r="N6" s="652">
        <f>AU!AC21</f>
        <v>0</v>
      </c>
      <c r="O6" s="655">
        <f>AU!AB21</f>
        <v>0</v>
      </c>
      <c r="P6" s="652">
        <f>AU!AF21</f>
        <v>0</v>
      </c>
      <c r="Q6" s="655">
        <f>AU!AE21</f>
        <v>0</v>
      </c>
      <c r="R6" s="652">
        <f>AU!AI21</f>
        <v>0</v>
      </c>
      <c r="S6" s="655">
        <f>AU!AH21</f>
        <v>0</v>
      </c>
      <c r="T6" s="652">
        <f>AU!AL21</f>
        <v>0</v>
      </c>
      <c r="U6" s="655">
        <f>AU!AK21</f>
        <v>0</v>
      </c>
      <c r="V6" s="652">
        <f>AU!AO21</f>
        <v>0</v>
      </c>
      <c r="W6" s="655">
        <f>AU!AN21</f>
        <v>0</v>
      </c>
      <c r="X6" s="687"/>
      <c r="Y6" s="643"/>
      <c r="Z6" s="643"/>
      <c r="AA6" s="643"/>
      <c r="AB6" s="643"/>
      <c r="AC6" s="643"/>
    </row>
    <row r="7" spans="1:52" x14ac:dyDescent="0.2">
      <c r="B7" t="str">
        <f>AU!C22</f>
        <v>Postdoc</v>
      </c>
      <c r="C7" t="str">
        <f>IF(AU!F22="","",AU!F22)</f>
        <v/>
      </c>
      <c r="D7" s="652">
        <f>AU!N22</f>
        <v>0</v>
      </c>
      <c r="E7" s="651">
        <f>AU!M22</f>
        <v>0</v>
      </c>
      <c r="F7" s="652">
        <f>AU!Q22</f>
        <v>0</v>
      </c>
      <c r="G7" s="651">
        <f>AU!P22</f>
        <v>0</v>
      </c>
      <c r="H7" s="652">
        <f>AU!T22</f>
        <v>351158.74871999997</v>
      </c>
      <c r="I7" s="651">
        <f>AU!S22</f>
        <v>0.5</v>
      </c>
      <c r="J7" s="652">
        <f>AU!W22</f>
        <v>723387.02236319997</v>
      </c>
      <c r="K7" s="651">
        <f>AU!V22</f>
        <v>1</v>
      </c>
      <c r="L7" s="652">
        <f>AU!Z22</f>
        <v>745088.63303409587</v>
      </c>
      <c r="M7" s="655">
        <f>AU!Y22</f>
        <v>1</v>
      </c>
      <c r="N7" s="652">
        <f>AU!AC22</f>
        <v>383720.64601255942</v>
      </c>
      <c r="O7" s="655">
        <f>AU!AB22</f>
        <v>0.5</v>
      </c>
      <c r="P7" s="652">
        <f>AU!AF22</f>
        <v>0</v>
      </c>
      <c r="Q7" s="655">
        <f>AU!AE22</f>
        <v>0</v>
      </c>
      <c r="R7" s="652">
        <f>AU!AI22</f>
        <v>0</v>
      </c>
      <c r="S7" s="655">
        <f>AU!AH22</f>
        <v>0</v>
      </c>
      <c r="T7" s="652">
        <f>AU!AL22</f>
        <v>0</v>
      </c>
      <c r="U7" s="655">
        <f>AU!AK22</f>
        <v>0</v>
      </c>
      <c r="V7" s="652">
        <f>AU!AO22</f>
        <v>0</v>
      </c>
      <c r="W7" s="655">
        <f>AU!AN22</f>
        <v>0</v>
      </c>
      <c r="X7" s="687"/>
      <c r="Y7" s="643"/>
      <c r="Z7" s="643"/>
      <c r="AA7" s="643"/>
      <c r="AB7" s="643"/>
      <c r="AC7" s="643"/>
    </row>
    <row r="8" spans="1:52" x14ac:dyDescent="0.2">
      <c r="B8" t="str">
        <f>AU!C23</f>
        <v>PhD Student</v>
      </c>
      <c r="C8" t="str">
        <f>IF(AU!F23="","",AU!F23)</f>
        <v/>
      </c>
      <c r="D8" s="652">
        <f>AU!N23</f>
        <v>267346.8</v>
      </c>
      <c r="E8" s="651">
        <f>AU!M23</f>
        <v>0.5</v>
      </c>
      <c r="F8" s="652">
        <f>AU!Q23</f>
        <v>550734.40800000005</v>
      </c>
      <c r="G8" s="651">
        <f>AU!P23</f>
        <v>1</v>
      </c>
      <c r="H8" s="652">
        <f>AU!T23</f>
        <v>567256.44023999991</v>
      </c>
      <c r="I8" s="651">
        <f>AU!S23</f>
        <v>1</v>
      </c>
      <c r="J8" s="652">
        <f>AU!W23</f>
        <v>292137.06672359997</v>
      </c>
      <c r="K8" s="651">
        <f>AU!V23</f>
        <v>0.5</v>
      </c>
      <c r="L8" s="652">
        <f>AU!Z23</f>
        <v>0</v>
      </c>
      <c r="M8" s="655">
        <f>AU!Y23</f>
        <v>0</v>
      </c>
      <c r="N8" s="652">
        <f>AU!AC23</f>
        <v>0</v>
      </c>
      <c r="O8" s="655">
        <f>AU!AB23</f>
        <v>0</v>
      </c>
      <c r="P8" s="652">
        <f>AU!AF23</f>
        <v>0</v>
      </c>
      <c r="Q8" s="655">
        <f>AU!AE23</f>
        <v>0</v>
      </c>
      <c r="R8" s="652">
        <f>AU!AI23</f>
        <v>0</v>
      </c>
      <c r="S8" s="655">
        <f>AU!AH23</f>
        <v>0</v>
      </c>
      <c r="T8" s="652">
        <f>AU!AL23</f>
        <v>0</v>
      </c>
      <c r="U8" s="655">
        <f>AU!AK23</f>
        <v>0</v>
      </c>
      <c r="V8" s="652">
        <f>AU!AO23</f>
        <v>0</v>
      </c>
      <c r="W8" s="655">
        <f>AU!AN23</f>
        <v>0</v>
      </c>
      <c r="X8" s="687"/>
      <c r="Y8" s="643"/>
      <c r="Z8" s="643"/>
      <c r="AA8" s="643"/>
      <c r="AB8" s="643"/>
      <c r="AC8" s="643"/>
    </row>
    <row r="9" spans="1:52" x14ac:dyDescent="0.2">
      <c r="B9" t="str">
        <f>AU!C24</f>
        <v>PhD Student</v>
      </c>
      <c r="C9" t="str">
        <f>IF(AU!F24="","",AU!F24)</f>
        <v/>
      </c>
      <c r="D9" s="652">
        <f>AU!N24</f>
        <v>0</v>
      </c>
      <c r="E9" s="651">
        <f>AU!M24</f>
        <v>0</v>
      </c>
      <c r="F9" s="652">
        <f>AU!Q24</f>
        <v>0</v>
      </c>
      <c r="G9" s="651">
        <f>AU!P24</f>
        <v>0</v>
      </c>
      <c r="H9" s="652">
        <f>AU!T24</f>
        <v>283628.22011999995</v>
      </c>
      <c r="I9" s="651">
        <f>AU!S24</f>
        <v>0.5</v>
      </c>
      <c r="J9" s="652">
        <f>AU!W24</f>
        <v>584274.13344719994</v>
      </c>
      <c r="K9" s="651">
        <f>AU!V24</f>
        <v>1</v>
      </c>
      <c r="L9" s="652">
        <f>AU!Z24</f>
        <v>601802.35745061596</v>
      </c>
      <c r="M9" s="655">
        <f>AU!Y24</f>
        <v>1</v>
      </c>
      <c r="N9" s="652">
        <f>AU!AC24</f>
        <v>309928.21408706723</v>
      </c>
      <c r="O9" s="655">
        <f>AU!AB24</f>
        <v>0.5</v>
      </c>
      <c r="P9" s="652">
        <f>AU!AF24</f>
        <v>0</v>
      </c>
      <c r="Q9" s="655">
        <f>AU!AE24</f>
        <v>0</v>
      </c>
      <c r="R9" s="652">
        <f>AU!AI24</f>
        <v>0</v>
      </c>
      <c r="S9" s="655">
        <f>AU!AH24</f>
        <v>0</v>
      </c>
      <c r="T9" s="652">
        <f>AU!AL24</f>
        <v>0</v>
      </c>
      <c r="U9" s="655">
        <f>AU!AK24</f>
        <v>0</v>
      </c>
      <c r="V9" s="652">
        <f>AU!AO24</f>
        <v>0</v>
      </c>
      <c r="W9" s="655">
        <f>AU!AN24</f>
        <v>0</v>
      </c>
      <c r="X9" s="687"/>
      <c r="Y9" s="643"/>
      <c r="AA9" s="643"/>
      <c r="AB9" s="643"/>
      <c r="AC9" s="643"/>
    </row>
    <row r="10" spans="1:52" x14ac:dyDescent="0.2">
      <c r="B10" t="str">
        <f>AU!C25</f>
        <v xml:space="preserve"> - </v>
      </c>
      <c r="C10" t="str">
        <f>IF(AU!F25="","",AU!F25)</f>
        <v/>
      </c>
      <c r="D10" s="652" t="str">
        <f>AU!N25</f>
        <v/>
      </c>
      <c r="E10" s="651">
        <f>AU!M25</f>
        <v>0</v>
      </c>
      <c r="F10" s="652" t="str">
        <f>AU!Q25</f>
        <v/>
      </c>
      <c r="G10" s="651">
        <f>AU!P25</f>
        <v>0</v>
      </c>
      <c r="H10" s="652" t="str">
        <f>AU!T25</f>
        <v/>
      </c>
      <c r="I10" s="651">
        <f>AU!S25</f>
        <v>0</v>
      </c>
      <c r="J10" s="652" t="str">
        <f>AU!W25</f>
        <v/>
      </c>
      <c r="K10" s="651">
        <f>AU!V25</f>
        <v>0</v>
      </c>
      <c r="L10" s="652" t="str">
        <f>AU!Z25</f>
        <v/>
      </c>
      <c r="M10" s="655">
        <f>AU!Y25</f>
        <v>0</v>
      </c>
      <c r="N10" s="652" t="str">
        <f>AU!AC25</f>
        <v/>
      </c>
      <c r="O10" s="655">
        <f>AU!AB25</f>
        <v>0</v>
      </c>
      <c r="P10" s="652" t="str">
        <f>AU!AF25</f>
        <v/>
      </c>
      <c r="Q10" s="655">
        <f>AU!AE25</f>
        <v>0</v>
      </c>
      <c r="R10" s="652" t="str">
        <f>AU!AI25</f>
        <v/>
      </c>
      <c r="S10" s="655">
        <f>AU!AH25</f>
        <v>0</v>
      </c>
      <c r="T10" s="652" t="str">
        <f>AU!AL25</f>
        <v/>
      </c>
      <c r="U10" s="655">
        <f>AU!AK25</f>
        <v>0</v>
      </c>
      <c r="V10" s="652" t="str">
        <f>AU!AO25</f>
        <v/>
      </c>
      <c r="W10" s="655">
        <f>AU!AN25</f>
        <v>0</v>
      </c>
      <c r="X10" s="687"/>
      <c r="Y10" s="643"/>
      <c r="AA10" s="643"/>
      <c r="AB10" s="643"/>
      <c r="AC10" s="643"/>
    </row>
    <row r="11" spans="1:52" x14ac:dyDescent="0.2">
      <c r="B11" t="str">
        <f>AU!C26</f>
        <v xml:space="preserve"> - </v>
      </c>
      <c r="C11" t="str">
        <f>IF(AU!F26="","",AU!F26)</f>
        <v/>
      </c>
      <c r="D11" s="652" t="str">
        <f>AU!N26</f>
        <v/>
      </c>
      <c r="E11" s="651">
        <f>AU!M26</f>
        <v>0</v>
      </c>
      <c r="F11" s="652" t="str">
        <f>AU!Q26</f>
        <v/>
      </c>
      <c r="G11" s="651">
        <f>AU!P26</f>
        <v>0</v>
      </c>
      <c r="H11" s="652" t="str">
        <f>AU!T26</f>
        <v/>
      </c>
      <c r="I11" s="651">
        <f>AU!S26</f>
        <v>0</v>
      </c>
      <c r="J11" s="652" t="str">
        <f>AU!W26</f>
        <v/>
      </c>
      <c r="K11" s="651">
        <f>AU!V26</f>
        <v>0</v>
      </c>
      <c r="L11" s="652" t="str">
        <f>AU!Z26</f>
        <v/>
      </c>
      <c r="M11" s="655">
        <f>AU!Y26</f>
        <v>0</v>
      </c>
      <c r="N11" s="652" t="str">
        <f>AU!AC26</f>
        <v/>
      </c>
      <c r="O11" s="655">
        <f>AU!AB26</f>
        <v>0</v>
      </c>
      <c r="P11" s="652" t="str">
        <f>AU!AF26</f>
        <v/>
      </c>
      <c r="Q11" s="655">
        <f>AU!AE26</f>
        <v>0</v>
      </c>
      <c r="R11" s="652" t="str">
        <f>AU!AI26</f>
        <v/>
      </c>
      <c r="S11" s="655">
        <f>AU!AH26</f>
        <v>0</v>
      </c>
      <c r="T11" s="652" t="str">
        <f>AU!AL26</f>
        <v/>
      </c>
      <c r="U11" s="655">
        <f>AU!AK26</f>
        <v>0</v>
      </c>
      <c r="V11" s="652" t="str">
        <f>AU!AO26</f>
        <v/>
      </c>
      <c r="W11" s="655">
        <f>AU!AN26</f>
        <v>0</v>
      </c>
      <c r="X11" s="687"/>
      <c r="Y11" s="643"/>
      <c r="AA11" s="643"/>
      <c r="AB11" s="643"/>
      <c r="AC11" s="643"/>
    </row>
    <row r="12" spans="1:52" collapsed="1" x14ac:dyDescent="0.2">
      <c r="B12" t="str">
        <f>AU!C27</f>
        <v xml:space="preserve"> - </v>
      </c>
      <c r="C12" t="str">
        <f>IF(AU!F27="","",AU!F27)</f>
        <v/>
      </c>
      <c r="D12" s="652" t="str">
        <f>AU!N27</f>
        <v/>
      </c>
      <c r="E12" s="651">
        <f>AU!M27</f>
        <v>0</v>
      </c>
      <c r="F12" s="652" t="str">
        <f>AU!Q27</f>
        <v/>
      </c>
      <c r="G12" s="651">
        <f>AU!P27</f>
        <v>0</v>
      </c>
      <c r="H12" s="652" t="str">
        <f>AU!T27</f>
        <v/>
      </c>
      <c r="I12" s="651">
        <f>AU!S27</f>
        <v>0</v>
      </c>
      <c r="J12" s="652" t="str">
        <f>AU!W27</f>
        <v/>
      </c>
      <c r="K12" s="651">
        <f>AU!V27</f>
        <v>0</v>
      </c>
      <c r="L12" s="652" t="str">
        <f>AU!Z27</f>
        <v/>
      </c>
      <c r="M12" s="655">
        <f>AU!Y27</f>
        <v>0</v>
      </c>
      <c r="N12" s="652" t="str">
        <f>AU!AC27</f>
        <v/>
      </c>
      <c r="O12" s="655">
        <f>AU!AB27</f>
        <v>0</v>
      </c>
      <c r="P12" s="652" t="str">
        <f>AU!AF27</f>
        <v/>
      </c>
      <c r="Q12" s="655">
        <f>AU!AE27</f>
        <v>0</v>
      </c>
      <c r="R12" s="652" t="str">
        <f>AU!AI27</f>
        <v/>
      </c>
      <c r="S12" s="655">
        <f>AU!AH27</f>
        <v>0</v>
      </c>
      <c r="T12" s="652" t="str">
        <f>AU!AL27</f>
        <v/>
      </c>
      <c r="U12" s="655">
        <f>AU!AK27</f>
        <v>0</v>
      </c>
      <c r="V12" s="652" t="str">
        <f>AU!AO27</f>
        <v/>
      </c>
      <c r="W12" s="655">
        <f>AU!AN27</f>
        <v>0</v>
      </c>
      <c r="X12" s="687"/>
      <c r="Y12" s="643"/>
      <c r="AA12" s="643"/>
      <c r="AB12" s="643"/>
      <c r="AC12" s="643"/>
      <c r="AD12" s="643"/>
    </row>
    <row r="13" spans="1:52" ht="15" hidden="1" customHeight="1" outlineLevel="1" x14ac:dyDescent="0.2">
      <c r="B13" t="str">
        <f>AU!C28</f>
        <v xml:space="preserve"> - </v>
      </c>
      <c r="C13" t="str">
        <f>IF(AU!F28="","",AU!F28)</f>
        <v/>
      </c>
      <c r="D13" s="652" t="str">
        <f>AU!N28</f>
        <v/>
      </c>
      <c r="E13" s="651">
        <f>AU!M28</f>
        <v>0</v>
      </c>
      <c r="F13" s="652" t="str">
        <f>AU!Q28</f>
        <v/>
      </c>
      <c r="G13" s="651">
        <f>AU!P28</f>
        <v>0</v>
      </c>
      <c r="H13" s="652" t="str">
        <f>AU!T28</f>
        <v/>
      </c>
      <c r="I13" s="651">
        <f>AU!S28</f>
        <v>0</v>
      </c>
      <c r="J13" s="652" t="str">
        <f>AU!W28</f>
        <v/>
      </c>
      <c r="K13" s="651">
        <f>AU!V28</f>
        <v>0</v>
      </c>
      <c r="L13" s="652" t="str">
        <f>AU!Z28</f>
        <v/>
      </c>
      <c r="M13" s="655">
        <f>AU!Y28</f>
        <v>0</v>
      </c>
      <c r="N13" s="652" t="str">
        <f>AU!AC28</f>
        <v/>
      </c>
      <c r="O13" s="655">
        <f>AU!AB28</f>
        <v>0</v>
      </c>
      <c r="P13" s="652" t="str">
        <f>AU!AF28</f>
        <v/>
      </c>
      <c r="Q13" s="655">
        <f>AU!AE28</f>
        <v>0</v>
      </c>
      <c r="R13" s="652" t="str">
        <f>AU!AI28</f>
        <v/>
      </c>
      <c r="S13" s="655">
        <f>AU!AH28</f>
        <v>0</v>
      </c>
      <c r="T13" s="652" t="str">
        <f>AU!AL28</f>
        <v/>
      </c>
      <c r="U13" s="655">
        <f>AU!AK28</f>
        <v>0</v>
      </c>
      <c r="V13" s="652" t="str">
        <f>AU!AO28</f>
        <v/>
      </c>
      <c r="W13" s="655">
        <f>AU!AN28</f>
        <v>0</v>
      </c>
      <c r="X13" s="687"/>
      <c r="Y13" s="643"/>
      <c r="Z13" s="643"/>
      <c r="AA13" s="643"/>
      <c r="AB13" s="643"/>
      <c r="AC13" s="643"/>
    </row>
    <row r="14" spans="1:52" ht="15" hidden="1" customHeight="1" outlineLevel="1" x14ac:dyDescent="0.2">
      <c r="B14" t="str">
        <f>AU!C29</f>
        <v xml:space="preserve"> - </v>
      </c>
      <c r="C14" t="str">
        <f>IF(AU!F29="","",AU!F29)</f>
        <v/>
      </c>
      <c r="D14" s="652" t="str">
        <f>AU!N29</f>
        <v/>
      </c>
      <c r="E14" s="651">
        <f>AU!M29</f>
        <v>0</v>
      </c>
      <c r="F14" s="652" t="str">
        <f>AU!Q29</f>
        <v/>
      </c>
      <c r="G14" s="651">
        <f>AU!P29</f>
        <v>0</v>
      </c>
      <c r="H14" s="652" t="str">
        <f>AU!T29</f>
        <v/>
      </c>
      <c r="I14" s="651">
        <f>AU!S29</f>
        <v>0</v>
      </c>
      <c r="J14" s="652" t="str">
        <f>AU!W29</f>
        <v/>
      </c>
      <c r="K14" s="651">
        <f>AU!V29</f>
        <v>0</v>
      </c>
      <c r="L14" s="652" t="str">
        <f>AU!Z29</f>
        <v/>
      </c>
      <c r="M14" s="655">
        <f>AU!Y29</f>
        <v>0</v>
      </c>
      <c r="N14" s="652" t="str">
        <f>AU!AC29</f>
        <v/>
      </c>
      <c r="O14" s="655">
        <f>AU!AB29</f>
        <v>0</v>
      </c>
      <c r="P14" s="652" t="str">
        <f>AU!AF29</f>
        <v/>
      </c>
      <c r="Q14" s="655">
        <f>AU!AE29</f>
        <v>0</v>
      </c>
      <c r="R14" s="652" t="str">
        <f>AU!AI29</f>
        <v/>
      </c>
      <c r="S14" s="655">
        <f>AU!AH29</f>
        <v>0</v>
      </c>
      <c r="T14" s="652" t="str">
        <f>AU!AL29</f>
        <v/>
      </c>
      <c r="U14" s="655">
        <f>AU!AK29</f>
        <v>0</v>
      </c>
      <c r="V14" s="652" t="str">
        <f>AU!AO29</f>
        <v/>
      </c>
      <c r="W14" s="655">
        <f>AU!AN29</f>
        <v>0</v>
      </c>
      <c r="X14" s="687"/>
      <c r="Y14" s="643"/>
      <c r="Z14" s="643"/>
      <c r="AA14" s="643"/>
      <c r="AB14" s="643"/>
      <c r="AC14" s="643"/>
    </row>
    <row r="15" spans="1:52" ht="15" hidden="1" customHeight="1" outlineLevel="1" x14ac:dyDescent="0.2">
      <c r="B15" t="str">
        <f>AU!C30</f>
        <v xml:space="preserve"> - </v>
      </c>
      <c r="C15" t="str">
        <f>IF(AU!F30="","",AU!F30)</f>
        <v/>
      </c>
      <c r="D15" s="652" t="str">
        <f>AU!N30</f>
        <v/>
      </c>
      <c r="E15" s="651">
        <f>AU!M30</f>
        <v>0</v>
      </c>
      <c r="F15" s="652" t="str">
        <f>AU!Q30</f>
        <v/>
      </c>
      <c r="G15" s="651">
        <f>AU!P30</f>
        <v>0</v>
      </c>
      <c r="H15" s="652" t="str">
        <f>AU!T30</f>
        <v/>
      </c>
      <c r="I15" s="651">
        <f>AU!S30</f>
        <v>0</v>
      </c>
      <c r="J15" s="652" t="str">
        <f>AU!W30</f>
        <v/>
      </c>
      <c r="K15" s="651">
        <f>AU!V30</f>
        <v>0</v>
      </c>
      <c r="L15" s="652" t="str">
        <f>AU!Z30</f>
        <v/>
      </c>
      <c r="M15" s="655">
        <f>AU!Y30</f>
        <v>0</v>
      </c>
      <c r="N15" s="652" t="str">
        <f>AU!AC30</f>
        <v/>
      </c>
      <c r="O15" s="655">
        <f>AU!AB30</f>
        <v>0</v>
      </c>
      <c r="P15" s="652" t="str">
        <f>AU!AF30</f>
        <v/>
      </c>
      <c r="Q15" s="655">
        <f>AU!AE30</f>
        <v>0</v>
      </c>
      <c r="R15" s="652" t="str">
        <f>AU!AI30</f>
        <v/>
      </c>
      <c r="S15" s="655">
        <f>AU!AH30</f>
        <v>0</v>
      </c>
      <c r="T15" s="652" t="str">
        <f>AU!AL30</f>
        <v/>
      </c>
      <c r="U15" s="655">
        <f>AU!AK30</f>
        <v>0</v>
      </c>
      <c r="V15" s="652" t="str">
        <f>AU!AO30</f>
        <v/>
      </c>
      <c r="W15" s="655">
        <f>AU!AN30</f>
        <v>0</v>
      </c>
      <c r="X15" s="687"/>
      <c r="Y15" s="643"/>
      <c r="Z15" s="643"/>
      <c r="AA15" s="643"/>
      <c r="AB15" s="643"/>
      <c r="AC15" s="643"/>
    </row>
    <row r="16" spans="1:52" ht="15" hidden="1" customHeight="1" outlineLevel="1" x14ac:dyDescent="0.2">
      <c r="B16" t="str">
        <f>AU!C31</f>
        <v xml:space="preserve"> - </v>
      </c>
      <c r="C16" t="str">
        <f>IF(AU!F31="","",AU!F31)</f>
        <v/>
      </c>
      <c r="D16" s="652" t="str">
        <f>AU!N31</f>
        <v/>
      </c>
      <c r="E16" s="651">
        <f>AU!M31</f>
        <v>0</v>
      </c>
      <c r="F16" s="652" t="str">
        <f>AU!Q31</f>
        <v/>
      </c>
      <c r="G16" s="651">
        <f>AU!P31</f>
        <v>0</v>
      </c>
      <c r="H16" s="652" t="str">
        <f>AU!T31</f>
        <v/>
      </c>
      <c r="I16" s="651">
        <f>AU!S31</f>
        <v>0</v>
      </c>
      <c r="J16" s="652" t="str">
        <f>AU!W31</f>
        <v/>
      </c>
      <c r="K16" s="651">
        <f>AU!V31</f>
        <v>0</v>
      </c>
      <c r="L16" s="652" t="str">
        <f>AU!Z31</f>
        <v/>
      </c>
      <c r="M16" s="655">
        <f>AU!Y31</f>
        <v>0</v>
      </c>
      <c r="N16" s="652" t="str">
        <f>AU!AC31</f>
        <v/>
      </c>
      <c r="O16" s="655">
        <f>AU!AB31</f>
        <v>0</v>
      </c>
      <c r="P16" s="652" t="str">
        <f>AU!AF31</f>
        <v/>
      </c>
      <c r="Q16" s="655">
        <f>AU!AE31</f>
        <v>0</v>
      </c>
      <c r="R16" s="652" t="str">
        <f>AU!AI31</f>
        <v/>
      </c>
      <c r="S16" s="655">
        <f>AU!AH31</f>
        <v>0</v>
      </c>
      <c r="T16" s="652" t="str">
        <f>AU!AL31</f>
        <v/>
      </c>
      <c r="U16" s="655">
        <f>AU!AK31</f>
        <v>0</v>
      </c>
      <c r="V16" s="652" t="str">
        <f>AU!AO31</f>
        <v/>
      </c>
      <c r="W16" s="655">
        <f>AU!AN31</f>
        <v>0</v>
      </c>
      <c r="X16" s="687"/>
      <c r="Y16" s="643"/>
      <c r="Z16" s="643"/>
      <c r="AA16" s="643"/>
      <c r="AB16" s="643"/>
      <c r="AC16" s="643"/>
    </row>
    <row r="17" spans="2:29" ht="15" hidden="1" customHeight="1" outlineLevel="1" x14ac:dyDescent="0.2">
      <c r="B17" t="str">
        <f>AU!C32</f>
        <v xml:space="preserve"> - </v>
      </c>
      <c r="C17" t="str">
        <f>IF(AU!F32="","",AU!F32)</f>
        <v/>
      </c>
      <c r="D17" s="652" t="str">
        <f>AU!N32</f>
        <v/>
      </c>
      <c r="E17" s="651">
        <f>AU!M32</f>
        <v>0</v>
      </c>
      <c r="F17" s="652" t="str">
        <f>AU!Q32</f>
        <v/>
      </c>
      <c r="G17" s="651">
        <f>AU!P32</f>
        <v>0</v>
      </c>
      <c r="H17" s="652" t="str">
        <f>AU!T32</f>
        <v/>
      </c>
      <c r="I17" s="651">
        <f>AU!S32</f>
        <v>0</v>
      </c>
      <c r="J17" s="652" t="str">
        <f>AU!W32</f>
        <v/>
      </c>
      <c r="K17" s="651">
        <f>AU!V32</f>
        <v>0</v>
      </c>
      <c r="L17" s="652" t="str">
        <f>AU!Z32</f>
        <v/>
      </c>
      <c r="M17" s="655">
        <f>AU!Y32</f>
        <v>0</v>
      </c>
      <c r="N17" s="652" t="str">
        <f>AU!AC32</f>
        <v/>
      </c>
      <c r="O17" s="655">
        <f>AU!AB32</f>
        <v>0</v>
      </c>
      <c r="P17" s="652" t="str">
        <f>AU!AF32</f>
        <v/>
      </c>
      <c r="Q17" s="655">
        <f>AU!AE32</f>
        <v>0</v>
      </c>
      <c r="R17" s="652" t="str">
        <f>AU!AI32</f>
        <v/>
      </c>
      <c r="S17" s="655">
        <f>AU!AH32</f>
        <v>0</v>
      </c>
      <c r="T17" s="652" t="str">
        <f>AU!AL32</f>
        <v/>
      </c>
      <c r="U17" s="655">
        <f>AU!AK32</f>
        <v>0</v>
      </c>
      <c r="V17" s="652" t="str">
        <f>AU!AO32</f>
        <v/>
      </c>
      <c r="W17" s="655">
        <f>AU!AN32</f>
        <v>0</v>
      </c>
      <c r="X17" s="687"/>
      <c r="Y17" s="643"/>
      <c r="Z17" s="643"/>
      <c r="AA17" s="643"/>
      <c r="AB17" s="643"/>
      <c r="AC17" s="643"/>
    </row>
    <row r="18" spans="2:29" ht="15" hidden="1" customHeight="1" outlineLevel="1" x14ac:dyDescent="0.2">
      <c r="B18" t="str">
        <f>AU!C33</f>
        <v xml:space="preserve"> - </v>
      </c>
      <c r="C18" t="str">
        <f>IF(AU!F33="","",AU!F33)</f>
        <v/>
      </c>
      <c r="D18" s="652" t="str">
        <f>AU!N33</f>
        <v/>
      </c>
      <c r="E18" s="651">
        <f>AU!M33</f>
        <v>0</v>
      </c>
      <c r="F18" s="652" t="str">
        <f>AU!Q33</f>
        <v/>
      </c>
      <c r="G18" s="651">
        <f>AU!P33</f>
        <v>0</v>
      </c>
      <c r="H18" s="652" t="str">
        <f>AU!T33</f>
        <v/>
      </c>
      <c r="I18" s="651">
        <f>AU!S33</f>
        <v>0</v>
      </c>
      <c r="J18" s="652" t="str">
        <f>AU!W33</f>
        <v/>
      </c>
      <c r="K18" s="651">
        <f>AU!V33</f>
        <v>0</v>
      </c>
      <c r="L18" s="652" t="str">
        <f>AU!Z33</f>
        <v/>
      </c>
      <c r="M18" s="655">
        <f>AU!Y33</f>
        <v>0</v>
      </c>
      <c r="N18" s="652" t="str">
        <f>AU!AC33</f>
        <v/>
      </c>
      <c r="O18" s="655">
        <f>AU!AB33</f>
        <v>0</v>
      </c>
      <c r="P18" s="652" t="str">
        <f>AU!AF33</f>
        <v/>
      </c>
      <c r="Q18" s="655">
        <f>AU!AE33</f>
        <v>0</v>
      </c>
      <c r="R18" s="652" t="str">
        <f>AU!AI33</f>
        <v/>
      </c>
      <c r="S18" s="655">
        <f>AU!AH33</f>
        <v>0</v>
      </c>
      <c r="T18" s="652" t="str">
        <f>AU!AL33</f>
        <v/>
      </c>
      <c r="U18" s="655">
        <f>AU!AK33</f>
        <v>0</v>
      </c>
      <c r="V18" s="652" t="str">
        <f>AU!AO33</f>
        <v/>
      </c>
      <c r="W18" s="655">
        <f>AU!AN33</f>
        <v>0</v>
      </c>
      <c r="X18" s="687"/>
      <c r="Y18" s="643"/>
      <c r="Z18" s="643"/>
      <c r="AA18" s="643"/>
      <c r="AB18" s="643"/>
      <c r="AC18" s="643"/>
    </row>
    <row r="19" spans="2:29" ht="15" hidden="1" customHeight="1" outlineLevel="1" x14ac:dyDescent="0.2">
      <c r="B19" t="str">
        <f>AU!C34</f>
        <v xml:space="preserve"> - </v>
      </c>
      <c r="C19" t="str">
        <f>IF(AU!F34="","",AU!F34)</f>
        <v/>
      </c>
      <c r="D19" s="652" t="str">
        <f>AU!N34</f>
        <v/>
      </c>
      <c r="E19" s="651">
        <f>AU!M34</f>
        <v>0</v>
      </c>
      <c r="F19" s="652" t="str">
        <f>AU!Q34</f>
        <v/>
      </c>
      <c r="G19" s="651">
        <f>AU!P34</f>
        <v>0</v>
      </c>
      <c r="H19" s="652" t="str">
        <f>AU!T34</f>
        <v/>
      </c>
      <c r="I19" s="651">
        <f>AU!S34</f>
        <v>0</v>
      </c>
      <c r="J19" s="652" t="str">
        <f>AU!W34</f>
        <v/>
      </c>
      <c r="K19" s="651">
        <f>AU!V34</f>
        <v>0</v>
      </c>
      <c r="L19" s="652" t="str">
        <f>AU!Z34</f>
        <v/>
      </c>
      <c r="M19" s="655">
        <f>AU!Y34</f>
        <v>0</v>
      </c>
      <c r="N19" s="652" t="str">
        <f>AU!AC34</f>
        <v/>
      </c>
      <c r="O19" s="655">
        <f>AU!AB34</f>
        <v>0</v>
      </c>
      <c r="P19" s="652" t="str">
        <f>AU!AF34</f>
        <v/>
      </c>
      <c r="Q19" s="655">
        <f>AU!AE34</f>
        <v>0</v>
      </c>
      <c r="R19" s="652" t="str">
        <f>AU!AI34</f>
        <v/>
      </c>
      <c r="S19" s="655">
        <f>AU!AH34</f>
        <v>0</v>
      </c>
      <c r="T19" s="652" t="str">
        <f>AU!AL34</f>
        <v/>
      </c>
      <c r="U19" s="655">
        <f>AU!AK34</f>
        <v>0</v>
      </c>
      <c r="V19" s="652" t="str">
        <f>AU!AO34</f>
        <v/>
      </c>
      <c r="W19" s="655">
        <f>AU!AN34</f>
        <v>0</v>
      </c>
      <c r="X19" s="687"/>
      <c r="Z19" s="643"/>
      <c r="AA19" s="643"/>
      <c r="AB19" s="643"/>
      <c r="AC19" s="643"/>
    </row>
    <row r="20" spans="2:29" ht="15" hidden="1" customHeight="1" outlineLevel="1" x14ac:dyDescent="0.2">
      <c r="B20" t="str">
        <f>AU!C35</f>
        <v xml:space="preserve"> - </v>
      </c>
      <c r="C20" t="str">
        <f>IF(AU!F35="","",AU!F35)</f>
        <v/>
      </c>
      <c r="D20" s="652" t="str">
        <f>AU!N35</f>
        <v/>
      </c>
      <c r="E20" s="651">
        <f>AU!M35</f>
        <v>0</v>
      </c>
      <c r="F20" s="652" t="str">
        <f>AU!Q35</f>
        <v/>
      </c>
      <c r="G20" s="651">
        <f>AU!P35</f>
        <v>0</v>
      </c>
      <c r="H20" s="652" t="str">
        <f>AU!T35</f>
        <v/>
      </c>
      <c r="I20" s="651">
        <f>AU!S35</f>
        <v>0</v>
      </c>
      <c r="J20" s="652" t="str">
        <f>AU!W35</f>
        <v/>
      </c>
      <c r="K20" s="651">
        <f>AU!V35</f>
        <v>0</v>
      </c>
      <c r="L20" s="652" t="str">
        <f>AU!Z35</f>
        <v/>
      </c>
      <c r="M20" s="655">
        <f>AU!Y35</f>
        <v>0</v>
      </c>
      <c r="N20" s="652" t="str">
        <f>AU!AC35</f>
        <v/>
      </c>
      <c r="O20" s="655">
        <f>AU!AB35</f>
        <v>0</v>
      </c>
      <c r="P20" s="652" t="str">
        <f>AU!AF35</f>
        <v/>
      </c>
      <c r="Q20" s="655">
        <f>AU!AE35</f>
        <v>0</v>
      </c>
      <c r="R20" s="652" t="str">
        <f>AU!AI35</f>
        <v/>
      </c>
      <c r="S20" s="655">
        <f>AU!AH35</f>
        <v>0</v>
      </c>
      <c r="T20" s="652" t="str">
        <f>AU!AL35</f>
        <v/>
      </c>
      <c r="U20" s="655">
        <f>AU!AK35</f>
        <v>0</v>
      </c>
      <c r="V20" s="652" t="str">
        <f>AU!AO35</f>
        <v/>
      </c>
      <c r="W20" s="655">
        <f>AU!AN35</f>
        <v>0</v>
      </c>
      <c r="X20" s="687"/>
      <c r="Z20" s="643"/>
      <c r="AA20" s="643"/>
      <c r="AB20" s="643"/>
      <c r="AC20" s="643"/>
    </row>
    <row r="21" spans="2:29" collapsed="1" x14ac:dyDescent="0.2">
      <c r="B21" s="642" t="s">
        <v>127</v>
      </c>
      <c r="C21" s="642" t="str">
        <f>IF(AU!F35="","",AU!F35)</f>
        <v/>
      </c>
      <c r="D21" s="654"/>
      <c r="E21" s="647"/>
      <c r="F21" s="654"/>
      <c r="G21" s="647"/>
      <c r="H21" s="654"/>
      <c r="I21" s="647"/>
      <c r="J21" s="654"/>
      <c r="K21" s="647"/>
      <c r="L21" s="654"/>
      <c r="M21" s="647"/>
      <c r="N21" s="654"/>
      <c r="O21" s="647"/>
      <c r="P21" s="654"/>
      <c r="Q21" s="647"/>
      <c r="R21" s="654"/>
      <c r="S21" s="647"/>
      <c r="T21" s="654"/>
      <c r="U21" s="647"/>
      <c r="V21" s="654"/>
      <c r="W21" s="647"/>
      <c r="X21" s="687"/>
      <c r="Z21" s="643"/>
      <c r="AA21" s="643"/>
      <c r="AB21" s="643"/>
      <c r="AC21" s="643"/>
    </row>
    <row r="22" spans="2:29" x14ac:dyDescent="0.2">
      <c r="B22" t="str">
        <f>AU!C56</f>
        <v>AC staff et al.</v>
      </c>
      <c r="C22" t="str">
        <f>IF(AU!F56="","",AU!F56)</f>
        <v/>
      </c>
      <c r="D22" s="652">
        <f>AU!N56</f>
        <v>0</v>
      </c>
      <c r="E22" s="651">
        <f>AU!M56</f>
        <v>0</v>
      </c>
      <c r="F22" s="652">
        <f>AU!Q56</f>
        <v>0</v>
      </c>
      <c r="G22" s="651">
        <f>AU!P56</f>
        <v>0</v>
      </c>
      <c r="H22" s="652">
        <f>AU!T56</f>
        <v>0</v>
      </c>
      <c r="I22" s="651">
        <f>AU!S56</f>
        <v>0</v>
      </c>
      <c r="J22" s="652">
        <f>AU!W56</f>
        <v>0</v>
      </c>
      <c r="K22" s="651">
        <f>AU!V56</f>
        <v>0</v>
      </c>
      <c r="L22" s="652">
        <f>AU!Z56</f>
        <v>0</v>
      </c>
      <c r="M22" s="651">
        <f>AU!Y56</f>
        <v>0</v>
      </c>
      <c r="N22" s="652">
        <f>AU!AC56</f>
        <v>0</v>
      </c>
      <c r="O22" s="651">
        <f>AU!AB56</f>
        <v>0</v>
      </c>
      <c r="P22" s="652">
        <f>AU!AF56</f>
        <v>0</v>
      </c>
      <c r="Q22" s="651">
        <f>AU!AE56</f>
        <v>0</v>
      </c>
      <c r="R22" s="652">
        <f>AU!AI56</f>
        <v>0</v>
      </c>
      <c r="S22" s="651">
        <f>AU!AH56</f>
        <v>0</v>
      </c>
      <c r="T22" s="652">
        <f>AU!AL56</f>
        <v>0</v>
      </c>
      <c r="U22" s="651">
        <f>AU!AK56</f>
        <v>0</v>
      </c>
      <c r="V22" s="652">
        <f>AU!AO56</f>
        <v>0</v>
      </c>
      <c r="W22" s="651">
        <f>AU!AN56</f>
        <v>0</v>
      </c>
      <c r="X22" s="687"/>
      <c r="AC22" s="643"/>
    </row>
    <row r="23" spans="2:29" x14ac:dyDescent="0.2">
      <c r="B23" t="str">
        <f>AU!C57</f>
        <v xml:space="preserve"> - </v>
      </c>
      <c r="C23" t="str">
        <f>IF(AU!F57="","",AU!F57)</f>
        <v/>
      </c>
      <c r="D23" s="652" t="str">
        <f>AU!N57</f>
        <v/>
      </c>
      <c r="E23" s="651">
        <f>AU!M57</f>
        <v>0</v>
      </c>
      <c r="F23" s="652" t="str">
        <f>AU!Q57</f>
        <v/>
      </c>
      <c r="G23" s="651">
        <f>AU!P57</f>
        <v>0</v>
      </c>
      <c r="H23" s="652" t="str">
        <f>AU!T57</f>
        <v/>
      </c>
      <c r="I23" s="651">
        <f>AU!S57</f>
        <v>0</v>
      </c>
      <c r="J23" s="652" t="str">
        <f>AU!W57</f>
        <v/>
      </c>
      <c r="K23" s="651">
        <f>AU!V57</f>
        <v>0</v>
      </c>
      <c r="L23" s="652" t="str">
        <f>AU!Z57</f>
        <v/>
      </c>
      <c r="M23" s="651">
        <f>AU!Y57</f>
        <v>0</v>
      </c>
      <c r="N23" s="652" t="str">
        <f>AU!AC57</f>
        <v/>
      </c>
      <c r="O23" s="651">
        <f>AU!AB57</f>
        <v>0</v>
      </c>
      <c r="P23" s="652" t="str">
        <f>AU!AF57</f>
        <v/>
      </c>
      <c r="Q23" s="651">
        <f>AU!AE57</f>
        <v>0</v>
      </c>
      <c r="R23" s="652" t="str">
        <f>AU!AI57</f>
        <v/>
      </c>
      <c r="S23" s="651">
        <f>AU!AH57</f>
        <v>0</v>
      </c>
      <c r="T23" s="652" t="str">
        <f>AU!AL57</f>
        <v/>
      </c>
      <c r="U23" s="651">
        <f>AU!AK57</f>
        <v>0</v>
      </c>
      <c r="V23" s="652" t="str">
        <f>AU!AO57</f>
        <v/>
      </c>
      <c r="W23" s="651">
        <f>AU!AN57</f>
        <v>0</v>
      </c>
      <c r="X23" s="687"/>
      <c r="Y23" s="653"/>
    </row>
    <row r="24" spans="2:29" x14ac:dyDescent="0.2">
      <c r="B24" t="str">
        <f>AU!C58</f>
        <v xml:space="preserve"> - </v>
      </c>
      <c r="C24" t="str">
        <f>IF(AU!F58="","",AU!F58)</f>
        <v/>
      </c>
      <c r="D24" s="652" t="str">
        <f>AU!N58</f>
        <v/>
      </c>
      <c r="E24" s="651">
        <f>AU!M58</f>
        <v>0</v>
      </c>
      <c r="F24" s="652" t="str">
        <f>AU!Q58</f>
        <v/>
      </c>
      <c r="G24" s="651">
        <f>AU!P58</f>
        <v>0</v>
      </c>
      <c r="H24" s="652" t="str">
        <f>AU!T58</f>
        <v/>
      </c>
      <c r="I24" s="651">
        <f>AU!S58</f>
        <v>0</v>
      </c>
      <c r="J24" s="652" t="str">
        <f>AU!W58</f>
        <v/>
      </c>
      <c r="K24" s="651">
        <f>AU!V58</f>
        <v>0</v>
      </c>
      <c r="L24" s="652" t="str">
        <f>AU!Z58</f>
        <v/>
      </c>
      <c r="M24" s="651">
        <f>AU!Y58</f>
        <v>0</v>
      </c>
      <c r="N24" s="652" t="str">
        <f>AU!AC58</f>
        <v/>
      </c>
      <c r="O24" s="651">
        <f>AU!AB58</f>
        <v>0</v>
      </c>
      <c r="P24" s="652" t="str">
        <f>AU!AF58</f>
        <v/>
      </c>
      <c r="Q24" s="651">
        <f>AU!AE58</f>
        <v>0</v>
      </c>
      <c r="R24" s="652" t="str">
        <f>AU!AI58</f>
        <v/>
      </c>
      <c r="S24" s="651">
        <f>AU!AH58</f>
        <v>0</v>
      </c>
      <c r="T24" s="652" t="str">
        <f>AU!AL58</f>
        <v/>
      </c>
      <c r="U24" s="651">
        <f>AU!AK58</f>
        <v>0</v>
      </c>
      <c r="V24" s="652" t="str">
        <f>AU!AO58</f>
        <v/>
      </c>
      <c r="W24" s="651">
        <f>AU!AN58</f>
        <v>0</v>
      </c>
      <c r="X24" s="687"/>
      <c r="Z24" s="650"/>
      <c r="AA24" s="650"/>
      <c r="AB24" s="650"/>
    </row>
    <row r="25" spans="2:29" x14ac:dyDescent="0.2">
      <c r="B25" t="str">
        <f>AU!C59</f>
        <v xml:space="preserve"> - </v>
      </c>
      <c r="C25" t="str">
        <f>IF(AU!F59="","",AU!F59)</f>
        <v/>
      </c>
      <c r="D25" s="652" t="str">
        <f>AU!N59</f>
        <v/>
      </c>
      <c r="E25" s="651">
        <f>AU!M59</f>
        <v>0</v>
      </c>
      <c r="F25" s="652" t="str">
        <f>AU!Q59</f>
        <v/>
      </c>
      <c r="G25" s="651">
        <f>AU!P59</f>
        <v>0</v>
      </c>
      <c r="H25" s="652" t="str">
        <f>AU!T59</f>
        <v/>
      </c>
      <c r="I25" s="651">
        <f>AU!S59</f>
        <v>0</v>
      </c>
      <c r="J25" s="652" t="str">
        <f>AU!W59</f>
        <v/>
      </c>
      <c r="K25" s="651">
        <f>AU!V59</f>
        <v>0</v>
      </c>
      <c r="L25" s="652" t="str">
        <f>AU!Z59</f>
        <v/>
      </c>
      <c r="M25" s="651">
        <f>AU!Y59</f>
        <v>0</v>
      </c>
      <c r="N25" s="652" t="str">
        <f>AU!AC59</f>
        <v/>
      </c>
      <c r="O25" s="651">
        <f>AU!AB59</f>
        <v>0</v>
      </c>
      <c r="P25" s="652" t="str">
        <f>AU!AF59</f>
        <v/>
      </c>
      <c r="Q25" s="651">
        <f>AU!AE59</f>
        <v>0</v>
      </c>
      <c r="R25" s="652" t="str">
        <f>AU!AI59</f>
        <v/>
      </c>
      <c r="S25" s="651">
        <f>AU!AH59</f>
        <v>0</v>
      </c>
      <c r="T25" s="652" t="str">
        <f>AU!AL59</f>
        <v/>
      </c>
      <c r="U25" s="651">
        <f>AU!AK59</f>
        <v>0</v>
      </c>
      <c r="V25" s="652" t="str">
        <f>AU!AO59</f>
        <v/>
      </c>
      <c r="W25" s="651">
        <f>AU!AN59</f>
        <v>0</v>
      </c>
      <c r="X25" s="687"/>
      <c r="Y25" s="643"/>
      <c r="Z25" s="650"/>
      <c r="AA25" s="650"/>
      <c r="AB25" s="650"/>
    </row>
    <row r="26" spans="2:29" collapsed="1" x14ac:dyDescent="0.2">
      <c r="B26" t="str">
        <f>AU!C60</f>
        <v xml:space="preserve"> - </v>
      </c>
      <c r="C26" t="str">
        <f>IF(AU!F60="","",AU!F60)</f>
        <v/>
      </c>
      <c r="D26" s="652" t="str">
        <f>AU!N60</f>
        <v/>
      </c>
      <c r="E26" s="651">
        <f>AU!M60</f>
        <v>0</v>
      </c>
      <c r="F26" s="652" t="str">
        <f>AU!Q60</f>
        <v/>
      </c>
      <c r="G26" s="651">
        <f>AU!P60</f>
        <v>0</v>
      </c>
      <c r="H26" s="652" t="str">
        <f>AU!T60</f>
        <v/>
      </c>
      <c r="I26" s="651">
        <f>AU!S60</f>
        <v>0</v>
      </c>
      <c r="J26" s="652" t="str">
        <f>AU!W60</f>
        <v/>
      </c>
      <c r="K26" s="651">
        <f>AU!V60</f>
        <v>0</v>
      </c>
      <c r="L26" s="652" t="str">
        <f>AU!Z60</f>
        <v/>
      </c>
      <c r="M26" s="651">
        <f>AU!Y60</f>
        <v>0</v>
      </c>
      <c r="N26" s="652" t="str">
        <f>AU!AC60</f>
        <v/>
      </c>
      <c r="O26" s="651">
        <f>AU!AB60</f>
        <v>0</v>
      </c>
      <c r="P26" s="652" t="str">
        <f>AU!AF60</f>
        <v/>
      </c>
      <c r="Q26" s="651">
        <f>AU!AE60</f>
        <v>0</v>
      </c>
      <c r="R26" s="652" t="str">
        <f>AU!AI60</f>
        <v/>
      </c>
      <c r="S26" s="651">
        <f>AU!AH60</f>
        <v>0</v>
      </c>
      <c r="T26" s="652" t="str">
        <f>AU!AL60</f>
        <v/>
      </c>
      <c r="U26" s="651">
        <f>AU!AK60</f>
        <v>0</v>
      </c>
      <c r="V26" s="652" t="str">
        <f>AU!AO60</f>
        <v/>
      </c>
      <c r="W26" s="651">
        <f>AU!AN60</f>
        <v>0</v>
      </c>
      <c r="X26" s="687"/>
      <c r="Y26" s="650"/>
      <c r="Z26" s="650"/>
      <c r="AA26" s="650"/>
      <c r="AB26" s="650"/>
    </row>
    <row r="27" spans="2:29" ht="15" hidden="1" customHeight="1" outlineLevel="1" x14ac:dyDescent="0.2">
      <c r="B27" t="str">
        <f>AU!C61</f>
        <v xml:space="preserve"> - </v>
      </c>
      <c r="C27" t="str">
        <f>IF(AU!F61="","",AU!F61)</f>
        <v/>
      </c>
      <c r="D27" s="652" t="str">
        <f>AU!N61</f>
        <v/>
      </c>
      <c r="E27" s="651">
        <f>AU!M61</f>
        <v>0</v>
      </c>
      <c r="F27" s="652" t="str">
        <f>AU!Q61</f>
        <v/>
      </c>
      <c r="G27" s="651">
        <f>AU!P61</f>
        <v>0</v>
      </c>
      <c r="H27" s="652" t="str">
        <f>AU!T61</f>
        <v/>
      </c>
      <c r="I27" s="651">
        <f>AU!S61</f>
        <v>0</v>
      </c>
      <c r="J27" s="652" t="str">
        <f>AU!W61</f>
        <v/>
      </c>
      <c r="K27" s="651">
        <f>AU!V61</f>
        <v>0</v>
      </c>
      <c r="L27" s="652" t="str">
        <f>AU!Z61</f>
        <v/>
      </c>
      <c r="M27" s="651">
        <f>AU!Y61</f>
        <v>0</v>
      </c>
      <c r="N27" s="652" t="str">
        <f>AU!AC61</f>
        <v/>
      </c>
      <c r="O27" s="651">
        <f>AU!AB61</f>
        <v>0</v>
      </c>
      <c r="P27" s="652" t="str">
        <f>AU!AF61</f>
        <v/>
      </c>
      <c r="Q27" s="651">
        <f>AU!AE61</f>
        <v>0</v>
      </c>
      <c r="R27" s="652" t="str">
        <f>AU!AI61</f>
        <v/>
      </c>
      <c r="S27" s="651">
        <f>AU!AH61</f>
        <v>0</v>
      </c>
      <c r="T27" s="652" t="str">
        <f>AU!AL61</f>
        <v/>
      </c>
      <c r="U27" s="651">
        <f>AU!AK61</f>
        <v>0</v>
      </c>
      <c r="V27" s="652" t="str">
        <f>AU!AO61</f>
        <v/>
      </c>
      <c r="W27" s="651">
        <f>AU!AN61</f>
        <v>0</v>
      </c>
      <c r="X27" s="687"/>
      <c r="Y27" s="650"/>
      <c r="Z27" s="650"/>
      <c r="AA27" s="650"/>
      <c r="AB27" s="650"/>
    </row>
    <row r="28" spans="2:29" ht="15" hidden="1" customHeight="1" outlineLevel="1" x14ac:dyDescent="0.2">
      <c r="B28" t="str">
        <f>AU!C62</f>
        <v xml:space="preserve"> - </v>
      </c>
      <c r="C28" t="str">
        <f>IF(AU!F62="","",AU!F62)</f>
        <v/>
      </c>
      <c r="D28" s="652" t="str">
        <f>AU!N62</f>
        <v/>
      </c>
      <c r="E28" s="651">
        <f>AU!M62</f>
        <v>0</v>
      </c>
      <c r="F28" s="652" t="str">
        <f>AU!Q62</f>
        <v/>
      </c>
      <c r="G28" s="651">
        <f>AU!P62</f>
        <v>0</v>
      </c>
      <c r="H28" s="652" t="str">
        <f>AU!T62</f>
        <v/>
      </c>
      <c r="I28" s="651">
        <f>AU!S62</f>
        <v>0</v>
      </c>
      <c r="J28" s="652" t="str">
        <f>AU!W62</f>
        <v/>
      </c>
      <c r="K28" s="651">
        <f>AU!V62</f>
        <v>0</v>
      </c>
      <c r="L28" s="652" t="str">
        <f>AU!Z62</f>
        <v/>
      </c>
      <c r="M28" s="651">
        <f>AU!Y62</f>
        <v>0</v>
      </c>
      <c r="N28" s="652" t="str">
        <f>AU!AC62</f>
        <v/>
      </c>
      <c r="O28" s="651">
        <f>AU!AB62</f>
        <v>0</v>
      </c>
      <c r="P28" s="652" t="str">
        <f>AU!AF62</f>
        <v/>
      </c>
      <c r="Q28" s="651">
        <f>AU!AE62</f>
        <v>0</v>
      </c>
      <c r="R28" s="652" t="str">
        <f>AU!AI62</f>
        <v/>
      </c>
      <c r="S28" s="651">
        <f>AU!AH62</f>
        <v>0</v>
      </c>
      <c r="T28" s="652" t="str">
        <f>AU!AL62</f>
        <v/>
      </c>
      <c r="U28" s="651">
        <f>AU!AK62</f>
        <v>0</v>
      </c>
      <c r="V28" s="652" t="str">
        <f>AU!AO62</f>
        <v/>
      </c>
      <c r="W28" s="651">
        <f>AU!AN62</f>
        <v>0</v>
      </c>
      <c r="X28" s="687"/>
      <c r="Y28" s="650"/>
      <c r="Z28" s="650"/>
      <c r="AA28" s="650"/>
      <c r="AB28" s="650"/>
    </row>
    <row r="29" spans="2:29" ht="15" hidden="1" customHeight="1" outlineLevel="1" x14ac:dyDescent="0.2">
      <c r="B29" t="str">
        <f>AU!C63</f>
        <v xml:space="preserve"> - </v>
      </c>
      <c r="C29" t="str">
        <f>IF(AU!F63="","",AU!F63)</f>
        <v/>
      </c>
      <c r="D29" s="652" t="str">
        <f>AU!N63</f>
        <v/>
      </c>
      <c r="E29" s="651">
        <f>AU!M63</f>
        <v>0</v>
      </c>
      <c r="F29" s="652" t="str">
        <f>AU!Q63</f>
        <v/>
      </c>
      <c r="G29" s="651">
        <f>AU!P63</f>
        <v>0</v>
      </c>
      <c r="H29" s="652" t="str">
        <f>AU!T63</f>
        <v/>
      </c>
      <c r="I29" s="651">
        <f>AU!S63</f>
        <v>0</v>
      </c>
      <c r="J29" s="652" t="str">
        <f>AU!W63</f>
        <v/>
      </c>
      <c r="K29" s="651">
        <f>AU!V63</f>
        <v>0</v>
      </c>
      <c r="L29" s="652" t="str">
        <f>AU!Z63</f>
        <v/>
      </c>
      <c r="M29" s="651">
        <f>AU!Y63</f>
        <v>0</v>
      </c>
      <c r="N29" s="652" t="str">
        <f>AU!AC63</f>
        <v/>
      </c>
      <c r="O29" s="651">
        <f>AU!AB63</f>
        <v>0</v>
      </c>
      <c r="P29" s="652" t="str">
        <f>AU!AF63</f>
        <v/>
      </c>
      <c r="Q29" s="651">
        <f>AU!AE63</f>
        <v>0</v>
      </c>
      <c r="R29" s="652" t="str">
        <f>AU!AI63</f>
        <v/>
      </c>
      <c r="S29" s="651">
        <f>AU!AH63</f>
        <v>0</v>
      </c>
      <c r="T29" s="652" t="str">
        <f>AU!AL63</f>
        <v/>
      </c>
      <c r="U29" s="651">
        <f>AU!AK63</f>
        <v>0</v>
      </c>
      <c r="V29" s="652" t="str">
        <f>AU!AO63</f>
        <v/>
      </c>
      <c r="W29" s="651">
        <f>AU!AN63</f>
        <v>0</v>
      </c>
      <c r="X29" s="687"/>
      <c r="Y29" s="650"/>
      <c r="Z29" s="650"/>
      <c r="AA29" s="650"/>
      <c r="AB29" s="650"/>
    </row>
    <row r="30" spans="2:29" ht="15" hidden="1" customHeight="1" outlineLevel="1" x14ac:dyDescent="0.2">
      <c r="B30" t="str">
        <f>AU!C64</f>
        <v xml:space="preserve"> - </v>
      </c>
      <c r="C30" t="str">
        <f>IF(AU!F64="","",AU!F64)</f>
        <v/>
      </c>
      <c r="D30" s="652" t="str">
        <f>AU!N64</f>
        <v/>
      </c>
      <c r="E30" s="651">
        <f>AU!M64</f>
        <v>0</v>
      </c>
      <c r="F30" s="652" t="str">
        <f>AU!Q64</f>
        <v/>
      </c>
      <c r="G30" s="651">
        <f>AU!P64</f>
        <v>0</v>
      </c>
      <c r="H30" s="652" t="str">
        <f>AU!T64</f>
        <v/>
      </c>
      <c r="I30" s="651">
        <f>AU!S64</f>
        <v>0</v>
      </c>
      <c r="J30" s="652" t="str">
        <f>AU!W64</f>
        <v/>
      </c>
      <c r="K30" s="651">
        <f>AU!V64</f>
        <v>0</v>
      </c>
      <c r="L30" s="652" t="str">
        <f>AU!Z64</f>
        <v/>
      </c>
      <c r="M30" s="651">
        <f>AU!Y64</f>
        <v>0</v>
      </c>
      <c r="N30" s="652" t="str">
        <f>AU!AC64</f>
        <v/>
      </c>
      <c r="O30" s="651">
        <f>AU!AB64</f>
        <v>0</v>
      </c>
      <c r="P30" s="652" t="str">
        <f>AU!AF64</f>
        <v/>
      </c>
      <c r="Q30" s="651">
        <f>AU!AE64</f>
        <v>0</v>
      </c>
      <c r="R30" s="652" t="str">
        <f>AU!AI64</f>
        <v/>
      </c>
      <c r="S30" s="651">
        <f>AU!AH64</f>
        <v>0</v>
      </c>
      <c r="T30" s="652" t="str">
        <f>AU!AL64</f>
        <v/>
      </c>
      <c r="U30" s="651">
        <f>AU!AK64</f>
        <v>0</v>
      </c>
      <c r="V30" s="652" t="str">
        <f>AU!AO64</f>
        <v/>
      </c>
      <c r="W30" s="651">
        <f>AU!AN64</f>
        <v>0</v>
      </c>
      <c r="X30" s="687"/>
      <c r="Y30" s="650"/>
      <c r="Z30" s="650"/>
      <c r="AA30" s="650"/>
      <c r="AB30" s="650"/>
    </row>
    <row r="31" spans="2:29" ht="15" hidden="1" customHeight="1" outlineLevel="1" x14ac:dyDescent="0.2">
      <c r="B31" t="str">
        <f>AU!C65</f>
        <v xml:space="preserve"> - </v>
      </c>
      <c r="C31" t="str">
        <f>IF(AU!F65="","",AU!F65)</f>
        <v/>
      </c>
      <c r="D31" s="652" t="str">
        <f>AU!N65</f>
        <v/>
      </c>
      <c r="E31" s="651">
        <f>AU!M65</f>
        <v>0</v>
      </c>
      <c r="F31" s="652" t="str">
        <f>AU!Q65</f>
        <v/>
      </c>
      <c r="G31" s="651">
        <f>AU!P65</f>
        <v>0</v>
      </c>
      <c r="H31" s="652" t="str">
        <f>AU!T65</f>
        <v/>
      </c>
      <c r="I31" s="651">
        <f>AU!S65</f>
        <v>0</v>
      </c>
      <c r="J31" s="652" t="str">
        <f>AU!W65</f>
        <v/>
      </c>
      <c r="K31" s="651">
        <f>AU!V65</f>
        <v>0</v>
      </c>
      <c r="L31" s="652" t="str">
        <f>AU!Z65</f>
        <v/>
      </c>
      <c r="M31" s="651">
        <f>AU!Y65</f>
        <v>0</v>
      </c>
      <c r="N31" s="652" t="str">
        <f>AU!AC65</f>
        <v/>
      </c>
      <c r="O31" s="651">
        <f>AU!AB65</f>
        <v>0</v>
      </c>
      <c r="P31" s="652" t="str">
        <f>AU!AF65</f>
        <v/>
      </c>
      <c r="Q31" s="651">
        <f>AU!AE65</f>
        <v>0</v>
      </c>
      <c r="R31" s="652" t="str">
        <f>AU!AI65</f>
        <v/>
      </c>
      <c r="S31" s="651">
        <f>AU!AH65</f>
        <v>0</v>
      </c>
      <c r="T31" s="652" t="str">
        <f>AU!AL65</f>
        <v/>
      </c>
      <c r="U31" s="651">
        <f>AU!AK65</f>
        <v>0</v>
      </c>
      <c r="V31" s="652" t="str">
        <f>AU!AO65</f>
        <v/>
      </c>
      <c r="W31" s="651">
        <f>AU!AN65</f>
        <v>0</v>
      </c>
      <c r="X31" s="687"/>
      <c r="Y31" s="650"/>
      <c r="Z31" s="650"/>
      <c r="AA31" s="650"/>
      <c r="AB31" s="650"/>
    </row>
    <row r="32" spans="2:29" ht="15" hidden="1" customHeight="1" outlineLevel="1" x14ac:dyDescent="0.2">
      <c r="B32" t="str">
        <f>AU!C66</f>
        <v xml:space="preserve"> - </v>
      </c>
      <c r="C32" t="str">
        <f>IF(AU!F66="","",AU!F66)</f>
        <v/>
      </c>
      <c r="D32" s="652" t="str">
        <f>AU!N66</f>
        <v/>
      </c>
      <c r="E32" s="651">
        <f>AU!M66</f>
        <v>0</v>
      </c>
      <c r="F32" s="652" t="str">
        <f>AU!Q66</f>
        <v/>
      </c>
      <c r="G32" s="651">
        <f>AU!P66</f>
        <v>0</v>
      </c>
      <c r="H32" s="652" t="str">
        <f>AU!T66</f>
        <v/>
      </c>
      <c r="I32" s="651">
        <f>AU!S66</f>
        <v>0</v>
      </c>
      <c r="J32" s="652" t="str">
        <f>AU!W66</f>
        <v/>
      </c>
      <c r="K32" s="651">
        <f>AU!V66</f>
        <v>0</v>
      </c>
      <c r="L32" s="652" t="str">
        <f>AU!Z66</f>
        <v/>
      </c>
      <c r="M32" s="651">
        <f>AU!Y66</f>
        <v>0</v>
      </c>
      <c r="N32" s="652" t="str">
        <f>AU!AC66</f>
        <v/>
      </c>
      <c r="O32" s="651">
        <f>AU!AB66</f>
        <v>0</v>
      </c>
      <c r="P32" s="652" t="str">
        <f>AU!AF66</f>
        <v/>
      </c>
      <c r="Q32" s="651">
        <f>AU!AE66</f>
        <v>0</v>
      </c>
      <c r="R32" s="652" t="str">
        <f>AU!AI66</f>
        <v/>
      </c>
      <c r="S32" s="651">
        <f>AU!AH66</f>
        <v>0</v>
      </c>
      <c r="T32" s="652" t="str">
        <f>AU!AL66</f>
        <v/>
      </c>
      <c r="U32" s="651">
        <f>AU!AK66</f>
        <v>0</v>
      </c>
      <c r="V32" s="652" t="str">
        <f>AU!AO66</f>
        <v/>
      </c>
      <c r="W32" s="651">
        <f>AU!AN66</f>
        <v>0</v>
      </c>
      <c r="X32" s="687"/>
      <c r="Y32" s="650"/>
      <c r="Z32" s="650"/>
      <c r="AA32" s="650"/>
      <c r="AB32" s="650"/>
    </row>
    <row r="33" spans="1:28" ht="15" hidden="1" customHeight="1" outlineLevel="1" x14ac:dyDescent="0.2">
      <c r="B33" t="str">
        <f>AU!C67</f>
        <v xml:space="preserve"> - </v>
      </c>
      <c r="C33" t="str">
        <f>IF(AU!F67="","",AU!F67)</f>
        <v/>
      </c>
      <c r="D33" s="652" t="str">
        <f>AU!N67</f>
        <v/>
      </c>
      <c r="E33" s="651">
        <f>AU!M67</f>
        <v>0</v>
      </c>
      <c r="F33" s="652" t="str">
        <f>AU!Q67</f>
        <v/>
      </c>
      <c r="G33" s="651">
        <f>AU!P67</f>
        <v>0</v>
      </c>
      <c r="H33" s="652" t="str">
        <f>AU!T67</f>
        <v/>
      </c>
      <c r="I33" s="651">
        <f>AU!S67</f>
        <v>0</v>
      </c>
      <c r="J33" s="652" t="str">
        <f>AU!W67</f>
        <v/>
      </c>
      <c r="K33" s="651">
        <f>AU!V67</f>
        <v>0</v>
      </c>
      <c r="L33" s="652" t="str">
        <f>AU!Z67</f>
        <v/>
      </c>
      <c r="M33" s="651">
        <f>AU!Y67</f>
        <v>0</v>
      </c>
      <c r="N33" s="652" t="str">
        <f>AU!AC67</f>
        <v/>
      </c>
      <c r="O33" s="651">
        <f>AU!AB67</f>
        <v>0</v>
      </c>
      <c r="P33" s="652" t="str">
        <f>AU!AF67</f>
        <v/>
      </c>
      <c r="Q33" s="651">
        <f>AU!AE67</f>
        <v>0</v>
      </c>
      <c r="R33" s="652" t="str">
        <f>AU!AI67</f>
        <v/>
      </c>
      <c r="S33" s="651">
        <f>AU!AH67</f>
        <v>0</v>
      </c>
      <c r="T33" s="652" t="str">
        <f>AU!AL67</f>
        <v/>
      </c>
      <c r="U33" s="651">
        <f>AU!AK67</f>
        <v>0</v>
      </c>
      <c r="V33" s="652" t="str">
        <f>AU!AO67</f>
        <v/>
      </c>
      <c r="W33" s="651">
        <f>AU!AN67</f>
        <v>0</v>
      </c>
      <c r="X33" s="687"/>
      <c r="Y33" s="650"/>
      <c r="Z33" s="650"/>
      <c r="AA33" s="650"/>
      <c r="AB33" s="650"/>
    </row>
    <row r="34" spans="1:28" ht="15" hidden="1" customHeight="1" outlineLevel="1" x14ac:dyDescent="0.2">
      <c r="B34" t="str">
        <f>AU!C68</f>
        <v xml:space="preserve"> - </v>
      </c>
      <c r="C34" t="str">
        <f>IF(AU!F68="","",AU!F68)</f>
        <v/>
      </c>
      <c r="D34" s="652" t="str">
        <f>AU!N68</f>
        <v/>
      </c>
      <c r="E34" s="651">
        <f>AU!M68</f>
        <v>0</v>
      </c>
      <c r="F34" s="652" t="str">
        <f>AU!Q68</f>
        <v/>
      </c>
      <c r="G34" s="651">
        <f>AU!P68</f>
        <v>0</v>
      </c>
      <c r="H34" s="652" t="str">
        <f>AU!T68</f>
        <v/>
      </c>
      <c r="I34" s="651">
        <f>AU!S68</f>
        <v>0</v>
      </c>
      <c r="J34" s="652" t="str">
        <f>AU!W68</f>
        <v/>
      </c>
      <c r="K34" s="651">
        <f>AU!V68</f>
        <v>0</v>
      </c>
      <c r="L34" s="652" t="str">
        <f>AU!Z68</f>
        <v/>
      </c>
      <c r="M34" s="651">
        <f>AU!Y68</f>
        <v>0</v>
      </c>
      <c r="N34" s="652" t="str">
        <f>AU!AC68</f>
        <v/>
      </c>
      <c r="O34" s="651">
        <f>AU!AB68</f>
        <v>0</v>
      </c>
      <c r="P34" s="652" t="str">
        <f>AU!AF68</f>
        <v/>
      </c>
      <c r="Q34" s="651">
        <f>AU!AE68</f>
        <v>0</v>
      </c>
      <c r="R34" s="652" t="str">
        <f>AU!AI68</f>
        <v/>
      </c>
      <c r="S34" s="651">
        <f>AU!AH68</f>
        <v>0</v>
      </c>
      <c r="T34" s="652" t="str">
        <f>AU!AL68</f>
        <v/>
      </c>
      <c r="U34" s="651">
        <f>AU!AK68</f>
        <v>0</v>
      </c>
      <c r="V34" s="652" t="str">
        <f>AU!AO68</f>
        <v/>
      </c>
      <c r="W34" s="651">
        <f>AU!AN68</f>
        <v>0</v>
      </c>
      <c r="X34" s="687"/>
      <c r="Y34" s="650"/>
      <c r="Z34" s="650"/>
      <c r="AA34" s="650"/>
      <c r="AB34" s="650"/>
    </row>
    <row r="35" spans="1:28" ht="15" hidden="1" customHeight="1" outlineLevel="1" x14ac:dyDescent="0.2">
      <c r="B35" t="str">
        <f>AU!C69</f>
        <v xml:space="preserve"> - </v>
      </c>
      <c r="C35" t="str">
        <f>IF(AU!F69="","",AU!F69)</f>
        <v/>
      </c>
      <c r="D35" s="652" t="str">
        <f>AU!N69</f>
        <v/>
      </c>
      <c r="E35" s="651">
        <f>AU!M69</f>
        <v>0</v>
      </c>
      <c r="F35" s="652" t="str">
        <f>AU!Q69</f>
        <v/>
      </c>
      <c r="G35" s="651">
        <f>AU!P69</f>
        <v>0</v>
      </c>
      <c r="H35" s="652" t="str">
        <f>AU!T69</f>
        <v/>
      </c>
      <c r="I35" s="651">
        <f>AU!S69</f>
        <v>0</v>
      </c>
      <c r="J35" s="652" t="str">
        <f>AU!W69</f>
        <v/>
      </c>
      <c r="K35" s="651">
        <f>AU!V69</f>
        <v>0</v>
      </c>
      <c r="L35" s="652" t="str">
        <f>AU!Z69</f>
        <v/>
      </c>
      <c r="M35" s="651">
        <f>AU!Y69</f>
        <v>0</v>
      </c>
      <c r="N35" s="652" t="str">
        <f>AU!AC69</f>
        <v/>
      </c>
      <c r="O35" s="651">
        <f>AU!AB69</f>
        <v>0</v>
      </c>
      <c r="P35" s="652" t="str">
        <f>AU!AF69</f>
        <v/>
      </c>
      <c r="Q35" s="651">
        <f>AU!AE69</f>
        <v>0</v>
      </c>
      <c r="R35" s="652" t="str">
        <f>AU!AI69</f>
        <v/>
      </c>
      <c r="S35" s="651">
        <f>AU!AH69</f>
        <v>0</v>
      </c>
      <c r="T35" s="652" t="str">
        <f>AU!AL69</f>
        <v/>
      </c>
      <c r="U35" s="651">
        <f>AU!AK69</f>
        <v>0</v>
      </c>
      <c r="V35" s="652" t="str">
        <f>AU!AO69</f>
        <v/>
      </c>
      <c r="W35" s="651">
        <f>AU!AN69</f>
        <v>0</v>
      </c>
      <c r="X35" s="687"/>
      <c r="Y35" s="650"/>
      <c r="Z35" s="650"/>
      <c r="AA35" s="650"/>
      <c r="AB35" s="650"/>
    </row>
    <row r="36" spans="1:28" ht="15" hidden="1" customHeight="1" outlineLevel="1" x14ac:dyDescent="0.2">
      <c r="B36" t="str">
        <f>AU!C70</f>
        <v xml:space="preserve"> - </v>
      </c>
      <c r="C36" t="str">
        <f>IF(AU!F70="","",AU!F70)</f>
        <v/>
      </c>
      <c r="D36" s="652" t="str">
        <f>AU!N70</f>
        <v/>
      </c>
      <c r="E36" s="651">
        <f>AU!M70</f>
        <v>0</v>
      </c>
      <c r="F36" s="652" t="str">
        <f>AU!Q70</f>
        <v/>
      </c>
      <c r="G36" s="651">
        <f>AU!P70</f>
        <v>0</v>
      </c>
      <c r="H36" s="652" t="str">
        <f>AU!T70</f>
        <v/>
      </c>
      <c r="I36" s="651">
        <f>AU!S70</f>
        <v>0</v>
      </c>
      <c r="J36" s="652" t="str">
        <f>AU!W70</f>
        <v/>
      </c>
      <c r="K36" s="651">
        <f>AU!V70</f>
        <v>0</v>
      </c>
      <c r="L36" s="652" t="str">
        <f>AU!Z70</f>
        <v/>
      </c>
      <c r="M36" s="651">
        <f>AU!Y70</f>
        <v>0</v>
      </c>
      <c r="N36" s="652" t="str">
        <f>AU!AC70</f>
        <v/>
      </c>
      <c r="O36" s="651">
        <f>AU!AB70</f>
        <v>0</v>
      </c>
      <c r="P36" s="652" t="str">
        <f>AU!AF70</f>
        <v/>
      </c>
      <c r="Q36" s="651">
        <f>AU!AE70</f>
        <v>0</v>
      </c>
      <c r="R36" s="652" t="str">
        <f>AU!AI70</f>
        <v/>
      </c>
      <c r="S36" s="651">
        <f>AU!AH70</f>
        <v>0</v>
      </c>
      <c r="T36" s="652" t="str">
        <f>AU!AL70</f>
        <v/>
      </c>
      <c r="U36" s="651">
        <f>AU!AK70</f>
        <v>0</v>
      </c>
      <c r="V36" s="652" t="str">
        <f>AU!AO70</f>
        <v/>
      </c>
      <c r="W36" s="651">
        <f>AU!AN70</f>
        <v>0</v>
      </c>
      <c r="X36" s="687"/>
      <c r="Y36" s="643"/>
      <c r="Z36" s="650"/>
      <c r="AA36" s="650"/>
      <c r="AB36" s="650"/>
    </row>
    <row r="37" spans="1:28" ht="15" hidden="1" customHeight="1" outlineLevel="1" x14ac:dyDescent="0.2">
      <c r="B37" t="str">
        <f>AU!C71</f>
        <v xml:space="preserve"> - </v>
      </c>
      <c r="C37" t="str">
        <f>IF(AU!F71="","",AU!F71)</f>
        <v/>
      </c>
      <c r="D37" s="652" t="str">
        <f>AU!N71</f>
        <v/>
      </c>
      <c r="E37" s="651">
        <f>AU!M71</f>
        <v>0</v>
      </c>
      <c r="F37" s="652" t="str">
        <f>AU!Q71</f>
        <v/>
      </c>
      <c r="G37" s="651">
        <f>AU!P71</f>
        <v>0</v>
      </c>
      <c r="H37" s="652" t="str">
        <f>AU!T71</f>
        <v/>
      </c>
      <c r="I37" s="651">
        <f>AU!S71</f>
        <v>0</v>
      </c>
      <c r="J37" s="652" t="str">
        <f>AU!W71</f>
        <v/>
      </c>
      <c r="K37" s="651">
        <f>AU!V71</f>
        <v>0</v>
      </c>
      <c r="L37" s="652" t="str">
        <f>AU!Z71</f>
        <v/>
      </c>
      <c r="M37" s="651">
        <f>AU!Y71</f>
        <v>0</v>
      </c>
      <c r="N37" s="652" t="str">
        <f>AU!AC57</f>
        <v/>
      </c>
      <c r="O37" s="651">
        <f>AU!AB57</f>
        <v>0</v>
      </c>
      <c r="P37" s="652" t="str">
        <f>AU!AF57</f>
        <v/>
      </c>
      <c r="Q37" s="651">
        <f>AU!AE57</f>
        <v>0</v>
      </c>
      <c r="R37" s="652" t="str">
        <f>AU!AI57</f>
        <v/>
      </c>
      <c r="S37" s="651">
        <f>AU!AH57</f>
        <v>0</v>
      </c>
      <c r="T37" s="652" t="str">
        <f>AU!AL57</f>
        <v/>
      </c>
      <c r="U37" s="651">
        <f>AU!AK57</f>
        <v>0</v>
      </c>
      <c r="V37" s="652" t="str">
        <f>AU!AO57</f>
        <v/>
      </c>
      <c r="W37" s="651">
        <f>AU!AN57</f>
        <v>0</v>
      </c>
      <c r="X37" s="687"/>
      <c r="Y37" s="650"/>
      <c r="Z37" s="650"/>
      <c r="AA37" s="650"/>
      <c r="AB37" s="650"/>
    </row>
    <row r="38" spans="1:28" s="669" customFormat="1" ht="23.5" customHeight="1" collapsed="1" x14ac:dyDescent="0.2">
      <c r="A38" s="635" t="s">
        <v>128</v>
      </c>
      <c r="B38" s="635" t="s">
        <v>129</v>
      </c>
      <c r="C38" s="635" t="s">
        <v>85</v>
      </c>
      <c r="D38" s="667"/>
      <c r="E38" s="668"/>
      <c r="F38" s="667"/>
      <c r="G38" s="668"/>
      <c r="H38" s="667"/>
      <c r="I38" s="668"/>
      <c r="J38" s="667"/>
      <c r="K38" s="668"/>
      <c r="L38" s="667"/>
      <c r="M38" s="668"/>
      <c r="N38" s="667"/>
      <c r="O38" s="668"/>
      <c r="P38" s="667"/>
      <c r="Q38" s="668"/>
      <c r="R38" s="667"/>
      <c r="S38" s="668"/>
      <c r="T38" s="667"/>
      <c r="U38" s="668"/>
      <c r="V38" s="667"/>
      <c r="W38" s="668"/>
      <c r="X38" s="688"/>
      <c r="Z38" s="2"/>
      <c r="AA38" s="2"/>
      <c r="AB38" s="2"/>
    </row>
    <row r="39" spans="1:28" x14ac:dyDescent="0.2">
      <c r="A39" s="3"/>
      <c r="B39" t="str">
        <f>AU!C95</f>
        <v>Equipment</v>
      </c>
      <c r="C39" t="str">
        <f>IF(AU!F95="","",AU!F95)</f>
        <v>High-performance computers</v>
      </c>
      <c r="D39" s="648">
        <f>AU!N95</f>
        <v>50000</v>
      </c>
      <c r="E39" s="647"/>
      <c r="F39" s="139">
        <f>AU!Q95</f>
        <v>50000</v>
      </c>
      <c r="G39" s="647"/>
      <c r="H39" s="139">
        <f>AU!T95</f>
        <v>50000</v>
      </c>
      <c r="I39" s="647"/>
      <c r="J39" s="139">
        <f>AU!W95</f>
        <v>0</v>
      </c>
      <c r="K39" s="647"/>
      <c r="L39" s="139">
        <f>AU!Z95</f>
        <v>0</v>
      </c>
      <c r="M39" s="647"/>
      <c r="N39" s="139">
        <f>AU!AC95</f>
        <v>0</v>
      </c>
      <c r="O39" s="647"/>
      <c r="P39" s="139">
        <f>AU!AF95</f>
        <v>0</v>
      </c>
      <c r="Q39" s="647"/>
      <c r="R39" s="139">
        <f>AU!AI95</f>
        <v>0</v>
      </c>
      <c r="S39" s="647"/>
      <c r="T39" s="139">
        <f>AU!AL95</f>
        <v>0</v>
      </c>
      <c r="U39" s="647"/>
      <c r="V39" s="139">
        <f>AU!AO95</f>
        <v>0</v>
      </c>
      <c r="W39" s="647"/>
      <c r="X39" s="687"/>
      <c r="Y39" s="650"/>
      <c r="Z39" s="650"/>
      <c r="AA39" s="650"/>
      <c r="AB39" s="650"/>
    </row>
    <row r="40" spans="1:28" x14ac:dyDescent="0.2">
      <c r="A40" s="3"/>
      <c r="B40" t="str">
        <f>AU!C96</f>
        <v>Data management</v>
      </c>
      <c r="C40" t="str">
        <f>IF(AU!F96="","",AU!F96)</f>
        <v>Cluster time</v>
      </c>
      <c r="D40" s="648">
        <f>AU!N96</f>
        <v>50000</v>
      </c>
      <c r="E40" s="647"/>
      <c r="F40" s="139">
        <f>AU!Q96</f>
        <v>50000</v>
      </c>
      <c r="G40" s="647"/>
      <c r="H40" s="139">
        <f>AU!T96</f>
        <v>50000</v>
      </c>
      <c r="I40" s="647"/>
      <c r="J40" s="139">
        <f>AU!W96</f>
        <v>50000</v>
      </c>
      <c r="K40" s="647"/>
      <c r="L40" s="139">
        <f>AU!Z96</f>
        <v>50000</v>
      </c>
      <c r="M40" s="647"/>
      <c r="N40" s="139">
        <f>AU!AC96</f>
        <v>50000</v>
      </c>
      <c r="O40" s="647"/>
      <c r="P40" s="139">
        <f>AU!AF96</f>
        <v>0</v>
      </c>
      <c r="Q40" s="647"/>
      <c r="R40" s="139">
        <f>AU!AI96</f>
        <v>0</v>
      </c>
      <c r="S40" s="647"/>
      <c r="T40" s="139">
        <f>AU!AL96</f>
        <v>0</v>
      </c>
      <c r="U40" s="647"/>
      <c r="V40" s="139">
        <f>AU!AO96</f>
        <v>0</v>
      </c>
      <c r="W40" s="647"/>
      <c r="X40" s="687"/>
      <c r="Y40" s="643"/>
      <c r="Z40" s="650"/>
      <c r="AA40" s="650"/>
      <c r="AB40" s="650"/>
    </row>
    <row r="41" spans="1:28" x14ac:dyDescent="0.2">
      <c r="A41" s="3"/>
      <c r="B41" t="str">
        <f>AU!C97</f>
        <v>Operating expenses</v>
      </c>
      <c r="C41" t="str">
        <f>IF(AU!F97="","",AU!F97)</f>
        <v>Data storage</v>
      </c>
      <c r="D41" s="648">
        <f>AU!N97</f>
        <v>100000</v>
      </c>
      <c r="E41" s="647"/>
      <c r="F41" s="139">
        <f>AU!Q97</f>
        <v>100000</v>
      </c>
      <c r="G41" s="647"/>
      <c r="H41" s="139">
        <f>AU!T97</f>
        <v>100000</v>
      </c>
      <c r="I41" s="647"/>
      <c r="J41" s="139">
        <f>AU!W97</f>
        <v>10000</v>
      </c>
      <c r="K41" s="647"/>
      <c r="L41" s="139">
        <f>AU!Z97</f>
        <v>100000</v>
      </c>
      <c r="M41" s="647"/>
      <c r="N41" s="139">
        <f>AU!AC97</f>
        <v>90000</v>
      </c>
      <c r="O41" s="647"/>
      <c r="P41" s="139">
        <f>AU!AF97</f>
        <v>0</v>
      </c>
      <c r="Q41" s="647"/>
      <c r="R41" s="139">
        <f>AU!AI97</f>
        <v>0</v>
      </c>
      <c r="S41" s="647"/>
      <c r="T41" s="139">
        <f>AU!AL97</f>
        <v>0</v>
      </c>
      <c r="U41" s="647"/>
      <c r="V41" s="139">
        <f>AU!AO97</f>
        <v>0</v>
      </c>
      <c r="W41" s="647"/>
      <c r="X41" s="687"/>
      <c r="Y41" s="650"/>
      <c r="Z41" s="650"/>
      <c r="AA41" s="650"/>
      <c r="AB41" s="650"/>
    </row>
    <row r="42" spans="1:28" x14ac:dyDescent="0.2">
      <c r="B42" t="str">
        <f>AU!C98</f>
        <v xml:space="preserve"> - </v>
      </c>
      <c r="C42" t="str">
        <f>IF(AU!F98="","",AU!F98)</f>
        <v/>
      </c>
      <c r="D42" s="648">
        <f>AU!N98</f>
        <v>0</v>
      </c>
      <c r="E42" s="647"/>
      <c r="F42" s="139">
        <f>AU!Q98</f>
        <v>0</v>
      </c>
      <c r="G42" s="647"/>
      <c r="H42" s="139">
        <f>AU!T98</f>
        <v>0</v>
      </c>
      <c r="I42" s="647"/>
      <c r="J42" s="139">
        <f>AU!W98</f>
        <v>0</v>
      </c>
      <c r="K42" s="647"/>
      <c r="L42" s="139">
        <f>AU!Z98</f>
        <v>0</v>
      </c>
      <c r="M42" s="647"/>
      <c r="N42" s="139">
        <f>AU!AC98</f>
        <v>0</v>
      </c>
      <c r="O42" s="647"/>
      <c r="P42" s="139">
        <f>AU!AF98</f>
        <v>0</v>
      </c>
      <c r="Q42" s="647"/>
      <c r="R42" s="139">
        <f>AU!AI98</f>
        <v>0</v>
      </c>
      <c r="S42" s="647"/>
      <c r="T42" s="139">
        <f>AU!AL98</f>
        <v>0</v>
      </c>
      <c r="U42" s="647"/>
      <c r="V42" s="139">
        <f>AU!AO98</f>
        <v>0</v>
      </c>
      <c r="W42" s="647"/>
      <c r="X42" s="687"/>
      <c r="Y42" s="643"/>
      <c r="Z42" s="650"/>
      <c r="AA42" s="650"/>
      <c r="AB42" s="650"/>
    </row>
    <row r="43" spans="1:28" x14ac:dyDescent="0.2">
      <c r="B43" t="str">
        <f>AU!C99</f>
        <v xml:space="preserve"> - </v>
      </c>
      <c r="C43" t="str">
        <f>IF(AU!F99="","",AU!F99)</f>
        <v/>
      </c>
      <c r="D43" s="648">
        <f>AU!N99</f>
        <v>0</v>
      </c>
      <c r="E43" s="647"/>
      <c r="F43" s="139">
        <f>AU!Q99</f>
        <v>0</v>
      </c>
      <c r="G43" s="647"/>
      <c r="H43" s="139">
        <f>AU!T99</f>
        <v>0</v>
      </c>
      <c r="I43" s="647"/>
      <c r="J43" s="139">
        <f>AU!W99</f>
        <v>0</v>
      </c>
      <c r="K43" s="647"/>
      <c r="L43" s="139">
        <f>AU!Z99</f>
        <v>0</v>
      </c>
      <c r="M43" s="647"/>
      <c r="N43" s="139">
        <f>AU!AC99</f>
        <v>0</v>
      </c>
      <c r="O43" s="647"/>
      <c r="P43" s="139">
        <f>AU!AF99</f>
        <v>0</v>
      </c>
      <c r="Q43" s="647"/>
      <c r="R43" s="139">
        <f>AU!AI99</f>
        <v>0</v>
      </c>
      <c r="S43" s="647"/>
      <c r="T43" s="139">
        <f>AU!AL99</f>
        <v>0</v>
      </c>
      <c r="U43" s="647"/>
      <c r="V43" s="139">
        <f>AU!AO99</f>
        <v>0</v>
      </c>
      <c r="W43" s="647"/>
      <c r="X43" s="687"/>
      <c r="Z43" s="650"/>
      <c r="AA43" s="650"/>
      <c r="AB43" s="650"/>
    </row>
    <row r="44" spans="1:28" x14ac:dyDescent="0.2">
      <c r="B44" t="str">
        <f>AU!C100</f>
        <v xml:space="preserve"> -</v>
      </c>
      <c r="C44" t="str">
        <f>IF(AU!F100="","",AU!F100)</f>
        <v/>
      </c>
      <c r="D44" s="648">
        <f>AU!N100</f>
        <v>0</v>
      </c>
      <c r="E44" s="647"/>
      <c r="F44" s="139">
        <f>AU!Q100</f>
        <v>0</v>
      </c>
      <c r="G44" s="647"/>
      <c r="H44" s="139">
        <f>AU!T100</f>
        <v>0</v>
      </c>
      <c r="I44" s="647"/>
      <c r="J44" s="139">
        <f>AU!W100</f>
        <v>0</v>
      </c>
      <c r="K44" s="647"/>
      <c r="L44" s="139">
        <f>AU!Z100</f>
        <v>0</v>
      </c>
      <c r="M44" s="647"/>
      <c r="N44" s="139">
        <f>AU!AC100</f>
        <v>0</v>
      </c>
      <c r="O44" s="647"/>
      <c r="P44" s="139">
        <f>AU!AF100</f>
        <v>0</v>
      </c>
      <c r="Q44" s="647"/>
      <c r="R44" s="139">
        <f>AU!AI100</f>
        <v>0</v>
      </c>
      <c r="S44" s="647"/>
      <c r="T44" s="139">
        <f>AU!AL100</f>
        <v>0</v>
      </c>
      <c r="U44" s="647"/>
      <c r="V44" s="139">
        <f>AU!AO100</f>
        <v>0</v>
      </c>
      <c r="W44" s="647"/>
      <c r="X44" s="687"/>
    </row>
    <row r="45" spans="1:28" x14ac:dyDescent="0.2">
      <c r="B45" t="str">
        <f>AU!C101</f>
        <v xml:space="preserve"> - </v>
      </c>
      <c r="C45" t="str">
        <f>IF(AU!F101="","",AU!F101)</f>
        <v/>
      </c>
      <c r="D45" s="648">
        <f>AU!N101</f>
        <v>0</v>
      </c>
      <c r="E45" s="647"/>
      <c r="F45" s="139">
        <f>AU!Q101</f>
        <v>0</v>
      </c>
      <c r="G45" s="647"/>
      <c r="H45" s="139">
        <f>AU!T101</f>
        <v>0</v>
      </c>
      <c r="I45" s="647"/>
      <c r="J45" s="139">
        <f>AU!W101</f>
        <v>0</v>
      </c>
      <c r="K45" s="647"/>
      <c r="L45" s="139">
        <f>AU!Z101</f>
        <v>0</v>
      </c>
      <c r="M45" s="647"/>
      <c r="N45" s="139">
        <f>AU!AC101</f>
        <v>0</v>
      </c>
      <c r="O45" s="647"/>
      <c r="P45" s="139">
        <f>AU!AF101</f>
        <v>0</v>
      </c>
      <c r="Q45" s="647"/>
      <c r="R45" s="139">
        <f>AU!AI101</f>
        <v>0</v>
      </c>
      <c r="S45" s="647"/>
      <c r="T45" s="139">
        <f>AU!AL101</f>
        <v>0</v>
      </c>
      <c r="U45" s="647"/>
      <c r="V45" s="139">
        <f>AU!AO101</f>
        <v>0</v>
      </c>
      <c r="W45" s="647"/>
      <c r="X45" s="687"/>
    </row>
    <row r="46" spans="1:28" x14ac:dyDescent="0.2">
      <c r="B46" t="str">
        <f>AU!C102</f>
        <v xml:space="preserve"> - </v>
      </c>
      <c r="C46" t="str">
        <f>IF(AU!F102="","",AU!F102)</f>
        <v/>
      </c>
      <c r="D46" s="648">
        <f>AU!N102</f>
        <v>0</v>
      </c>
      <c r="E46" s="647"/>
      <c r="F46" s="139">
        <f>AU!Q102</f>
        <v>0</v>
      </c>
      <c r="G46" s="647"/>
      <c r="H46" s="139">
        <f>AU!T102</f>
        <v>0</v>
      </c>
      <c r="I46" s="647"/>
      <c r="J46" s="139">
        <f>AU!W102</f>
        <v>0</v>
      </c>
      <c r="K46" s="647"/>
      <c r="L46" s="139">
        <f>AU!Z102</f>
        <v>0</v>
      </c>
      <c r="M46" s="647"/>
      <c r="N46" s="139">
        <f>AU!AC102</f>
        <v>0</v>
      </c>
      <c r="O46" s="647"/>
      <c r="P46" s="139">
        <f>AU!AF102</f>
        <v>0</v>
      </c>
      <c r="Q46" s="647"/>
      <c r="R46" s="139">
        <f>AU!AI102</f>
        <v>0</v>
      </c>
      <c r="S46" s="647"/>
      <c r="T46" s="139">
        <f>AU!AL102</f>
        <v>0</v>
      </c>
      <c r="U46" s="647"/>
      <c r="V46" s="139">
        <f>AU!AO102</f>
        <v>0</v>
      </c>
      <c r="W46" s="647"/>
      <c r="X46" s="687"/>
    </row>
    <row r="47" spans="1:28" x14ac:dyDescent="0.2">
      <c r="B47" t="str">
        <f>AU!C103</f>
        <v xml:space="preserve"> - </v>
      </c>
      <c r="C47" t="str">
        <f>IF(AU!F103="","",AU!F103)</f>
        <v/>
      </c>
      <c r="D47" s="648">
        <f>AU!N103</f>
        <v>0</v>
      </c>
      <c r="E47" s="647"/>
      <c r="F47" s="139">
        <f>AU!Q103</f>
        <v>0</v>
      </c>
      <c r="G47" s="647"/>
      <c r="H47" s="139">
        <f>AU!T103</f>
        <v>0</v>
      </c>
      <c r="I47" s="647"/>
      <c r="J47" s="139">
        <f>AU!W103</f>
        <v>0</v>
      </c>
      <c r="K47" s="647"/>
      <c r="L47" s="139">
        <f>AU!Z103</f>
        <v>0</v>
      </c>
      <c r="M47" s="647"/>
      <c r="N47" s="139">
        <f>AU!AC103</f>
        <v>0</v>
      </c>
      <c r="O47" s="647"/>
      <c r="P47" s="139">
        <f>AU!AF103</f>
        <v>0</v>
      </c>
      <c r="Q47" s="647"/>
      <c r="R47" s="139">
        <f>AU!AI103</f>
        <v>0</v>
      </c>
      <c r="S47" s="647"/>
      <c r="T47" s="139">
        <f>AU!AL103</f>
        <v>0</v>
      </c>
      <c r="U47" s="647"/>
      <c r="V47" s="139">
        <f>AU!AO103</f>
        <v>0</v>
      </c>
      <c r="W47" s="647"/>
      <c r="X47" s="687"/>
    </row>
    <row r="48" spans="1:28" x14ac:dyDescent="0.2">
      <c r="B48" t="str">
        <f>AU!C104</f>
        <v xml:space="preserve"> - </v>
      </c>
      <c r="C48" t="str">
        <f>IF(AU!F104="","",AU!F104)</f>
        <v/>
      </c>
      <c r="D48" s="648">
        <f>AU!N104</f>
        <v>0</v>
      </c>
      <c r="E48" s="647"/>
      <c r="F48" s="139">
        <f>AU!Q104</f>
        <v>0</v>
      </c>
      <c r="G48" s="647"/>
      <c r="H48" s="139">
        <f>AU!T104</f>
        <v>0</v>
      </c>
      <c r="I48" s="647"/>
      <c r="J48" s="139">
        <f>AU!W104</f>
        <v>0</v>
      </c>
      <c r="K48" s="647"/>
      <c r="L48" s="139">
        <f>AU!Z104</f>
        <v>0</v>
      </c>
      <c r="M48" s="647"/>
      <c r="N48" s="139">
        <f>AU!AC104</f>
        <v>0</v>
      </c>
      <c r="O48" s="647"/>
      <c r="P48" s="139">
        <f>AU!AF104</f>
        <v>0</v>
      </c>
      <c r="Q48" s="647"/>
      <c r="R48" s="139">
        <f>AU!AI104</f>
        <v>0</v>
      </c>
      <c r="S48" s="647"/>
      <c r="T48" s="139">
        <f>AU!AL104</f>
        <v>0</v>
      </c>
      <c r="U48" s="647"/>
      <c r="V48" s="139">
        <f>AU!AO104</f>
        <v>0</v>
      </c>
      <c r="W48" s="647"/>
      <c r="X48" s="687"/>
    </row>
    <row r="49" spans="1:29" ht="15" hidden="1" customHeight="1" outlineLevel="1" x14ac:dyDescent="0.2">
      <c r="B49" t="str">
        <f>AU!C105</f>
        <v xml:space="preserve"> - </v>
      </c>
      <c r="C49" t="str">
        <f>IF(AU!F105="","",AU!F105)</f>
        <v/>
      </c>
      <c r="D49" s="648">
        <f>AU!N105</f>
        <v>0</v>
      </c>
      <c r="E49" s="647"/>
      <c r="F49" s="139">
        <f>AU!Q105</f>
        <v>0</v>
      </c>
      <c r="G49" s="647"/>
      <c r="H49" s="139">
        <f>AU!T105</f>
        <v>0</v>
      </c>
      <c r="I49" s="647"/>
      <c r="J49" s="139">
        <f>AU!W105</f>
        <v>0</v>
      </c>
      <c r="K49" s="647"/>
      <c r="L49" s="139">
        <f>AU!Z105</f>
        <v>0</v>
      </c>
      <c r="M49" s="647"/>
      <c r="N49" s="139">
        <f>AU!AC105</f>
        <v>0</v>
      </c>
      <c r="O49" s="647"/>
      <c r="P49" s="139">
        <f>AU!AF105</f>
        <v>0</v>
      </c>
      <c r="Q49" s="647"/>
      <c r="R49" s="139">
        <f>AU!AI105</f>
        <v>0</v>
      </c>
      <c r="S49" s="647"/>
      <c r="T49" s="139">
        <f>AU!AL105</f>
        <v>0</v>
      </c>
      <c r="U49" s="647"/>
      <c r="V49" s="139">
        <f>AU!AO105</f>
        <v>0</v>
      </c>
      <c r="W49" s="647"/>
      <c r="X49" s="689"/>
    </row>
    <row r="50" spans="1:29" ht="15" hidden="1" customHeight="1" outlineLevel="1" x14ac:dyDescent="0.2">
      <c r="B50" t="str">
        <f>AU!C106</f>
        <v xml:space="preserve"> - </v>
      </c>
      <c r="C50" t="str">
        <f>IF(AU!F106="","",AU!F106)</f>
        <v/>
      </c>
      <c r="D50" s="648">
        <f>AU!N106</f>
        <v>0</v>
      </c>
      <c r="E50" s="647"/>
      <c r="F50" s="139">
        <f>AU!Q106</f>
        <v>0</v>
      </c>
      <c r="G50" s="647"/>
      <c r="H50" s="139">
        <f>AU!T106</f>
        <v>0</v>
      </c>
      <c r="I50" s="647"/>
      <c r="J50" s="139">
        <f>AU!W106</f>
        <v>0</v>
      </c>
      <c r="K50" s="647"/>
      <c r="L50" s="139">
        <f>AU!Z106</f>
        <v>0</v>
      </c>
      <c r="M50" s="647"/>
      <c r="N50" s="139">
        <f>AU!AC106</f>
        <v>0</v>
      </c>
      <c r="O50" s="647"/>
      <c r="P50" s="139">
        <f>AU!AF106</f>
        <v>0</v>
      </c>
      <c r="Q50" s="647"/>
      <c r="R50" s="139">
        <f>AU!AI106</f>
        <v>0</v>
      </c>
      <c r="S50" s="647"/>
      <c r="T50" s="139">
        <f>AU!AL106</f>
        <v>0</v>
      </c>
      <c r="U50" s="647"/>
      <c r="V50" s="139">
        <f>AU!AO106</f>
        <v>0</v>
      </c>
      <c r="W50" s="647"/>
      <c r="X50" s="689"/>
    </row>
    <row r="51" spans="1:29" ht="15" hidden="1" customHeight="1" outlineLevel="1" x14ac:dyDescent="0.2">
      <c r="B51" t="str">
        <f>AU!C107</f>
        <v xml:space="preserve"> - </v>
      </c>
      <c r="C51" t="str">
        <f>IF(AU!F107="","",AU!F107)</f>
        <v/>
      </c>
      <c r="D51" s="648">
        <f>AU!N107</f>
        <v>0</v>
      </c>
      <c r="E51" s="647"/>
      <c r="F51" s="139">
        <f>AU!Q107</f>
        <v>0</v>
      </c>
      <c r="G51" s="647"/>
      <c r="H51" s="139">
        <f>AU!T107</f>
        <v>0</v>
      </c>
      <c r="I51" s="647"/>
      <c r="J51" s="139">
        <f>AU!W107</f>
        <v>0</v>
      </c>
      <c r="K51" s="647"/>
      <c r="L51" s="139">
        <f>AU!Z107</f>
        <v>0</v>
      </c>
      <c r="M51" s="647"/>
      <c r="N51" s="139">
        <f>AU!AC107</f>
        <v>0</v>
      </c>
      <c r="O51" s="647"/>
      <c r="P51" s="139">
        <f>AU!AF107</f>
        <v>0</v>
      </c>
      <c r="Q51" s="647"/>
      <c r="R51" s="139">
        <f>AU!AI107</f>
        <v>0</v>
      </c>
      <c r="S51" s="647"/>
      <c r="T51" s="139">
        <f>AU!AL107</f>
        <v>0</v>
      </c>
      <c r="U51" s="647"/>
      <c r="V51" s="139">
        <f>AU!AO107</f>
        <v>0</v>
      </c>
      <c r="W51" s="647"/>
      <c r="X51" s="689"/>
    </row>
    <row r="52" spans="1:29" ht="15" hidden="1" customHeight="1" outlineLevel="1" x14ac:dyDescent="0.2">
      <c r="B52" t="str">
        <f>AU!C108</f>
        <v xml:space="preserve"> - </v>
      </c>
      <c r="C52" t="str">
        <f>IF(AU!F108="","",AU!F108)</f>
        <v/>
      </c>
      <c r="D52" s="648">
        <f>AU!N108</f>
        <v>0</v>
      </c>
      <c r="E52" s="647"/>
      <c r="F52" s="139">
        <f>AU!Q108</f>
        <v>0</v>
      </c>
      <c r="G52" s="647"/>
      <c r="H52" s="139">
        <f>AU!T108</f>
        <v>0</v>
      </c>
      <c r="I52" s="647"/>
      <c r="J52" s="139">
        <f>AU!W108</f>
        <v>0</v>
      </c>
      <c r="K52" s="647"/>
      <c r="L52" s="139">
        <f>AU!Z108</f>
        <v>0</v>
      </c>
      <c r="M52" s="647"/>
      <c r="N52" s="139">
        <f>AU!AC108</f>
        <v>0</v>
      </c>
      <c r="O52" s="647"/>
      <c r="P52" s="139">
        <f>AU!AF108</f>
        <v>0</v>
      </c>
      <c r="Q52" s="647"/>
      <c r="R52" s="139">
        <f>AU!AI108</f>
        <v>0</v>
      </c>
      <c r="S52" s="647"/>
      <c r="T52" s="139">
        <f>AU!AL108</f>
        <v>0</v>
      </c>
      <c r="U52" s="647"/>
      <c r="V52" s="139">
        <f>AU!AO108</f>
        <v>0</v>
      </c>
      <c r="W52" s="647"/>
      <c r="X52" s="689"/>
    </row>
    <row r="53" spans="1:29" ht="15" hidden="1" customHeight="1" outlineLevel="1" x14ac:dyDescent="0.2">
      <c r="B53" t="str">
        <f>AU!C109</f>
        <v xml:space="preserve"> - </v>
      </c>
      <c r="C53" t="str">
        <f>IF(AU!F109="","",AU!F109)</f>
        <v/>
      </c>
      <c r="D53" s="648">
        <f>AU!N109</f>
        <v>0</v>
      </c>
      <c r="E53" s="647"/>
      <c r="F53" s="139">
        <f>AU!Q109</f>
        <v>0</v>
      </c>
      <c r="G53" s="647"/>
      <c r="H53" s="139">
        <f>AU!T109</f>
        <v>0</v>
      </c>
      <c r="I53" s="647"/>
      <c r="J53" s="139">
        <f>AU!W109</f>
        <v>0</v>
      </c>
      <c r="K53" s="647"/>
      <c r="L53" s="139">
        <f>AU!Z109</f>
        <v>0</v>
      </c>
      <c r="M53" s="647"/>
      <c r="N53" s="139">
        <f>AU!AC109</f>
        <v>0</v>
      </c>
      <c r="O53" s="647"/>
      <c r="P53" s="139">
        <f>AU!AF109</f>
        <v>0</v>
      </c>
      <c r="Q53" s="647"/>
      <c r="R53" s="139">
        <f>AU!AI109</f>
        <v>0</v>
      </c>
      <c r="S53" s="647"/>
      <c r="T53" s="139">
        <f>AU!AL109</f>
        <v>0</v>
      </c>
      <c r="U53" s="647"/>
      <c r="V53" s="139">
        <f>AU!AO109</f>
        <v>0</v>
      </c>
      <c r="W53" s="647"/>
      <c r="X53" s="689"/>
    </row>
    <row r="54" spans="1:29" ht="16" hidden="1" customHeight="1" outlineLevel="1" x14ac:dyDescent="0.2">
      <c r="B54" t="str">
        <f>AU!C110</f>
        <v xml:space="preserve"> - </v>
      </c>
      <c r="C54" t="str">
        <f>IF(AU!F110="","",AU!F110)</f>
        <v/>
      </c>
      <c r="D54" s="648">
        <f>AU!N110</f>
        <v>0</v>
      </c>
      <c r="E54" s="647"/>
      <c r="F54" s="139">
        <f>AU!Q110</f>
        <v>0</v>
      </c>
      <c r="G54" s="647"/>
      <c r="H54" s="139">
        <f>AU!T110</f>
        <v>0</v>
      </c>
      <c r="I54" s="647"/>
      <c r="J54" s="139">
        <f>AU!W110</f>
        <v>0</v>
      </c>
      <c r="K54" s="647"/>
      <c r="L54" s="139">
        <f>AU!Z110</f>
        <v>0</v>
      </c>
      <c r="M54" s="647"/>
      <c r="N54" s="139">
        <f>AU!AC110</f>
        <v>0</v>
      </c>
      <c r="O54" s="647"/>
      <c r="P54" s="139">
        <f>AU!AF110</f>
        <v>0</v>
      </c>
      <c r="Q54" s="647"/>
      <c r="R54" s="139">
        <f>AU!AI110</f>
        <v>0</v>
      </c>
      <c r="S54" s="647"/>
      <c r="T54" s="139">
        <f>AU!AL110</f>
        <v>0</v>
      </c>
      <c r="U54" s="647"/>
      <c r="V54" s="139">
        <f>AU!AO110</f>
        <v>0</v>
      </c>
      <c r="W54" s="647"/>
      <c r="X54" s="689"/>
    </row>
    <row r="55" spans="1:29" ht="14.25" customHeight="1" collapsed="1" x14ac:dyDescent="0.2">
      <c r="B55" s="663" t="str">
        <f>AU!C120</f>
        <v>Bench fee</v>
      </c>
      <c r="C55" t="str">
        <f>IF(AU!J120="","",AU!J120)</f>
        <v/>
      </c>
      <c r="D55" s="648">
        <f>AU!N120</f>
        <v>0</v>
      </c>
      <c r="E55" s="647"/>
      <c r="F55" s="139">
        <f>AU!Q120</f>
        <v>0</v>
      </c>
      <c r="G55" s="647"/>
      <c r="H55" s="139">
        <f>AU!T120</f>
        <v>0</v>
      </c>
      <c r="I55" s="647"/>
      <c r="J55" s="139">
        <f>AU!W120</f>
        <v>0</v>
      </c>
      <c r="K55" s="647"/>
      <c r="L55" s="139">
        <f>AU!Z120</f>
        <v>0</v>
      </c>
      <c r="M55" s="647"/>
      <c r="N55" s="139">
        <f>AU!AC120</f>
        <v>0</v>
      </c>
      <c r="O55" s="647"/>
      <c r="P55" s="139">
        <f>AU!AF120</f>
        <v>0</v>
      </c>
      <c r="Q55" s="647"/>
      <c r="R55" s="139">
        <f>AU!AI120</f>
        <v>0</v>
      </c>
      <c r="S55" s="647"/>
      <c r="T55" s="139">
        <f>AU!AL120</f>
        <v>0</v>
      </c>
      <c r="U55" s="647"/>
      <c r="V55" s="139">
        <f>AU!AO120</f>
        <v>0</v>
      </c>
      <c r="W55" s="647"/>
      <c r="X55" s="687"/>
    </row>
    <row r="56" spans="1:29" ht="15" customHeight="1" x14ac:dyDescent="0.2">
      <c r="A56" s="666" t="s">
        <v>130</v>
      </c>
      <c r="B56" s="666" t="s">
        <v>131</v>
      </c>
      <c r="C56" s="666"/>
      <c r="D56" s="649"/>
      <c r="E56" s="644"/>
      <c r="F56" s="649"/>
      <c r="G56" s="644"/>
      <c r="H56" s="649"/>
      <c r="I56" s="644"/>
      <c r="J56" s="649"/>
      <c r="K56" s="644"/>
      <c r="L56" s="649"/>
      <c r="M56" s="644"/>
      <c r="N56" s="649"/>
      <c r="O56" s="665"/>
      <c r="P56" s="645"/>
      <c r="Q56" s="665"/>
      <c r="R56" s="645"/>
      <c r="S56" s="665"/>
      <c r="T56" s="645"/>
      <c r="U56" s="665"/>
      <c r="V56" s="645"/>
      <c r="W56" s="665"/>
      <c r="X56" s="687"/>
    </row>
    <row r="57" spans="1:29" ht="15" customHeight="1" x14ac:dyDescent="0.2">
      <c r="B57" t="str">
        <f>AU!C112</f>
        <v>Conference participation</v>
      </c>
      <c r="C57" t="str">
        <f>IF(AU!F112="","",AU!F112)</f>
        <v/>
      </c>
      <c r="D57" s="648">
        <f>AU!N112</f>
        <v>15000</v>
      </c>
      <c r="E57" s="647"/>
      <c r="F57" s="139">
        <f>AU!Q112</f>
        <v>15000</v>
      </c>
      <c r="G57" s="647"/>
      <c r="H57" s="139">
        <f>AU!T112</f>
        <v>15000</v>
      </c>
      <c r="I57" s="647"/>
      <c r="J57" s="139">
        <f>AU!W112</f>
        <v>15000</v>
      </c>
      <c r="K57" s="647"/>
      <c r="L57" s="139">
        <f>AU!Z112</f>
        <v>15000</v>
      </c>
      <c r="M57" s="647"/>
      <c r="N57" s="139">
        <f>AU!AC112</f>
        <v>5000</v>
      </c>
      <c r="O57" s="647"/>
      <c r="P57" s="139">
        <f>AU!AF112</f>
        <v>0</v>
      </c>
      <c r="Q57" s="647"/>
      <c r="R57" s="139">
        <f>AU!AI112</f>
        <v>0</v>
      </c>
      <c r="S57" s="647"/>
      <c r="T57" s="139">
        <f>AU!AL112</f>
        <v>0</v>
      </c>
      <c r="U57" s="647"/>
      <c r="V57" s="139">
        <f>AU!AO112</f>
        <v>0</v>
      </c>
      <c r="W57" s="647"/>
      <c r="X57" s="687"/>
    </row>
    <row r="58" spans="1:29" x14ac:dyDescent="0.2">
      <c r="B58" t="str">
        <f>AU!C113</f>
        <v>Travel</v>
      </c>
      <c r="C58" t="str">
        <f>IF(AU!F113="","",AU!F113)</f>
        <v/>
      </c>
      <c r="D58" s="648">
        <f>AU!N113</f>
        <v>20000</v>
      </c>
      <c r="E58" s="647"/>
      <c r="F58" s="139">
        <f>AU!Q113</f>
        <v>20000</v>
      </c>
      <c r="G58" s="647"/>
      <c r="H58" s="139">
        <f>AU!T113</f>
        <v>20000</v>
      </c>
      <c r="I58" s="647"/>
      <c r="J58" s="139">
        <f>AU!W113</f>
        <v>20000</v>
      </c>
      <c r="K58" s="647"/>
      <c r="L58" s="139">
        <f>AU!Z113</f>
        <v>20000</v>
      </c>
      <c r="M58" s="647"/>
      <c r="N58" s="139">
        <f>AU!AC113</f>
        <v>20000</v>
      </c>
      <c r="O58" s="647"/>
      <c r="P58" s="139">
        <f>AU!AF113</f>
        <v>0</v>
      </c>
      <c r="Q58" s="647"/>
      <c r="R58" s="139">
        <f>AU!AI113</f>
        <v>0</v>
      </c>
      <c r="S58" s="647"/>
      <c r="T58" s="139">
        <f>AU!AL113</f>
        <v>0</v>
      </c>
      <c r="U58" s="647"/>
      <c r="V58" s="139">
        <f>AU!AO113</f>
        <v>0</v>
      </c>
      <c r="W58" s="647"/>
      <c r="X58" s="687"/>
    </row>
    <row r="59" spans="1:29" x14ac:dyDescent="0.2">
      <c r="B59" t="str">
        <f>AU!C114</f>
        <v>Publication costs</v>
      </c>
      <c r="C59" t="str">
        <f>IF(AU!F114="","",AU!F114)</f>
        <v/>
      </c>
      <c r="D59" s="648">
        <f>AU!N114</f>
        <v>0</v>
      </c>
      <c r="E59" s="647"/>
      <c r="F59" s="139">
        <f>AU!Q114</f>
        <v>25000</v>
      </c>
      <c r="G59" s="647"/>
      <c r="H59" s="139">
        <f>AU!T114</f>
        <v>25000</v>
      </c>
      <c r="I59" s="647"/>
      <c r="J59" s="139">
        <f>AU!W114</f>
        <v>25000</v>
      </c>
      <c r="K59" s="647"/>
      <c r="L59" s="139">
        <f>AU!Z114</f>
        <v>25000</v>
      </c>
      <c r="M59" s="647"/>
      <c r="N59" s="139">
        <f>AU!AC114</f>
        <v>25000</v>
      </c>
      <c r="O59" s="647"/>
      <c r="P59" s="139">
        <f>AU!AF114</f>
        <v>0</v>
      </c>
      <c r="Q59" s="647"/>
      <c r="R59" s="139">
        <f>AU!AI114</f>
        <v>0</v>
      </c>
      <c r="S59" s="647"/>
      <c r="T59" s="139">
        <f>AU!AL114</f>
        <v>0</v>
      </c>
      <c r="U59" s="647"/>
      <c r="V59" s="139">
        <f>AU!AO114</f>
        <v>0</v>
      </c>
      <c r="W59" s="647"/>
      <c r="X59" s="687"/>
    </row>
    <row r="60" spans="1:29" hidden="1" outlineLevel="1" x14ac:dyDescent="0.2">
      <c r="B60" t="str">
        <f>AU!C115</f>
        <v>Travel</v>
      </c>
      <c r="C60" t="str">
        <f>IF(AU!F115="","",AU!F115)</f>
        <v>PhD research stay abroad</v>
      </c>
      <c r="D60" s="648">
        <f>AU!N115</f>
        <v>0</v>
      </c>
      <c r="E60" s="647"/>
      <c r="F60" s="139">
        <f>AU!Q115</f>
        <v>0</v>
      </c>
      <c r="G60" s="647"/>
      <c r="H60" s="139">
        <f>AU!T115</f>
        <v>30000</v>
      </c>
      <c r="I60" s="647"/>
      <c r="J60" s="139">
        <f>AU!W115</f>
        <v>0</v>
      </c>
      <c r="K60" s="647"/>
      <c r="L60" s="139">
        <f>AU!Z115</f>
        <v>30000</v>
      </c>
      <c r="M60" s="647"/>
      <c r="N60" s="139">
        <f>AU!AC115</f>
        <v>0</v>
      </c>
      <c r="O60" s="647"/>
      <c r="P60" s="139">
        <f>AU!AF115</f>
        <v>0</v>
      </c>
      <c r="Q60" s="647"/>
      <c r="R60" s="139">
        <f>AU!AI115</f>
        <v>0</v>
      </c>
      <c r="S60" s="647"/>
      <c r="T60" s="139">
        <f>AU!AL115</f>
        <v>0</v>
      </c>
      <c r="U60" s="647"/>
      <c r="V60" s="139">
        <f>AU!AO115</f>
        <v>0</v>
      </c>
      <c r="W60" s="647"/>
      <c r="X60" s="687"/>
    </row>
    <row r="61" spans="1:29" hidden="1" outlineLevel="1" x14ac:dyDescent="0.2">
      <c r="B61" t="str">
        <f>AU!C116</f>
        <v xml:space="preserve"> - </v>
      </c>
      <c r="C61" t="str">
        <f>IF(AU!F116="","",AU!F116)</f>
        <v/>
      </c>
      <c r="D61" s="648">
        <f>AU!N116</f>
        <v>0</v>
      </c>
      <c r="E61" s="647"/>
      <c r="F61" s="139">
        <f>AU!Q116</f>
        <v>0</v>
      </c>
      <c r="G61" s="647"/>
      <c r="H61" s="139">
        <f>AU!T116</f>
        <v>0</v>
      </c>
      <c r="I61" s="647"/>
      <c r="J61" s="139">
        <f>AU!W116</f>
        <v>0</v>
      </c>
      <c r="K61" s="647"/>
      <c r="L61" s="139">
        <f>AU!Z116</f>
        <v>0</v>
      </c>
      <c r="M61" s="647"/>
      <c r="N61" s="139">
        <f>AU!AC116</f>
        <v>0</v>
      </c>
      <c r="O61" s="647"/>
      <c r="P61" s="139">
        <f>AU!AF116</f>
        <v>0</v>
      </c>
      <c r="Q61" s="647"/>
      <c r="R61" s="139">
        <f>AU!AI116</f>
        <v>0</v>
      </c>
      <c r="S61" s="647"/>
      <c r="T61" s="139">
        <f>AU!AL116</f>
        <v>0</v>
      </c>
      <c r="U61" s="647"/>
      <c r="V61" s="139">
        <f>AU!AO116</f>
        <v>0</v>
      </c>
      <c r="W61" s="647"/>
      <c r="X61" s="687"/>
      <c r="Y61" s="643"/>
      <c r="Z61" s="643"/>
      <c r="AA61" s="643"/>
      <c r="AB61" s="643"/>
      <c r="AC61" s="643"/>
    </row>
    <row r="62" spans="1:29" hidden="1" outlineLevel="1" x14ac:dyDescent="0.2">
      <c r="B62" t="str">
        <f>AU!C117</f>
        <v xml:space="preserve"> - </v>
      </c>
      <c r="C62" t="str">
        <f>IF(AU!F117="","",AU!F117)</f>
        <v/>
      </c>
      <c r="D62" s="648">
        <f>AU!N117</f>
        <v>0</v>
      </c>
      <c r="E62" s="647"/>
      <c r="F62" s="139">
        <f>AU!Q117</f>
        <v>0</v>
      </c>
      <c r="G62" s="647"/>
      <c r="H62" s="139">
        <f>AU!T117</f>
        <v>0</v>
      </c>
      <c r="I62" s="647"/>
      <c r="J62" s="139">
        <f>AU!W117</f>
        <v>0</v>
      </c>
      <c r="K62" s="647"/>
      <c r="L62" s="139">
        <f>AU!Z117</f>
        <v>0</v>
      </c>
      <c r="M62" s="647"/>
      <c r="N62" s="139">
        <f>AU!AC117</f>
        <v>0</v>
      </c>
      <c r="O62" s="647"/>
      <c r="P62" s="139">
        <f>AU!AF117</f>
        <v>0</v>
      </c>
      <c r="Q62" s="647"/>
      <c r="R62" s="139">
        <f>AU!AI117</f>
        <v>0</v>
      </c>
      <c r="S62" s="647"/>
      <c r="T62" s="139">
        <f>AU!AL117</f>
        <v>0</v>
      </c>
      <c r="U62" s="647"/>
      <c r="V62" s="139">
        <f>AU!AO117</f>
        <v>0</v>
      </c>
      <c r="W62" s="647"/>
      <c r="X62" s="687"/>
      <c r="Y62" s="643"/>
      <c r="Z62" s="643"/>
      <c r="AA62" s="643"/>
      <c r="AB62" s="643"/>
      <c r="AC62" s="643"/>
    </row>
    <row r="63" spans="1:29" hidden="1" outlineLevel="1" x14ac:dyDescent="0.2">
      <c r="B63" t="str">
        <f>AU!C118</f>
        <v xml:space="preserve"> - </v>
      </c>
      <c r="C63" t="str">
        <f>IF(AU!F118="","",AU!F118)</f>
        <v/>
      </c>
      <c r="D63" s="648">
        <f>AU!N118</f>
        <v>0</v>
      </c>
      <c r="E63" s="647"/>
      <c r="F63" s="139">
        <f>AU!Q118</f>
        <v>0</v>
      </c>
      <c r="G63" s="647"/>
      <c r="H63" s="139">
        <f>AU!T118</f>
        <v>0</v>
      </c>
      <c r="I63" s="647"/>
      <c r="J63" s="139">
        <f>AU!W118</f>
        <v>0</v>
      </c>
      <c r="K63" s="647"/>
      <c r="L63" s="139">
        <f>AU!Z118</f>
        <v>0</v>
      </c>
      <c r="M63" s="647"/>
      <c r="N63" s="139">
        <f>AU!AC118</f>
        <v>0</v>
      </c>
      <c r="O63" s="647"/>
      <c r="P63" s="139">
        <f>AU!AF118</f>
        <v>0</v>
      </c>
      <c r="Q63" s="647"/>
      <c r="R63" s="139">
        <f>AU!AI118</f>
        <v>0</v>
      </c>
      <c r="S63" s="647"/>
      <c r="T63" s="139">
        <f>AU!AL118</f>
        <v>0</v>
      </c>
      <c r="U63" s="647"/>
      <c r="V63" s="139">
        <f>AU!AO118</f>
        <v>0</v>
      </c>
      <c r="W63" s="647"/>
      <c r="X63" s="687"/>
      <c r="Y63" s="643"/>
      <c r="Z63" s="643"/>
      <c r="AA63" s="643"/>
      <c r="AB63" s="643"/>
      <c r="AC63" s="643"/>
    </row>
    <row r="64" spans="1:29" collapsed="1" x14ac:dyDescent="0.2">
      <c r="B64" t="str">
        <f>AU!C119</f>
        <v>Tuition fee</v>
      </c>
      <c r="C64" t="str">
        <f>IF(AU!F119="","",AU!F119)</f>
        <v/>
      </c>
      <c r="D64" s="648">
        <f>AU!N119</f>
        <v>40000</v>
      </c>
      <c r="E64" s="647"/>
      <c r="F64" s="139">
        <f>AU!Q119</f>
        <v>80000</v>
      </c>
      <c r="G64" s="647"/>
      <c r="H64" s="139">
        <f>AU!T119</f>
        <v>120000</v>
      </c>
      <c r="I64" s="647"/>
      <c r="J64" s="139">
        <f>AU!W119</f>
        <v>120000</v>
      </c>
      <c r="K64" s="647"/>
      <c r="L64" s="139">
        <f>AU!Z119</f>
        <v>80000</v>
      </c>
      <c r="M64" s="647"/>
      <c r="N64" s="139">
        <f>AU!AC119</f>
        <v>40000</v>
      </c>
      <c r="O64" s="647"/>
      <c r="P64" s="139">
        <f>AU!AF119</f>
        <v>0</v>
      </c>
      <c r="Q64" s="647"/>
      <c r="R64" s="139">
        <f>AU!AI119</f>
        <v>0</v>
      </c>
      <c r="S64" s="647"/>
      <c r="T64" s="139">
        <f>AU!AL119</f>
        <v>0</v>
      </c>
      <c r="U64" s="647"/>
      <c r="V64" s="139">
        <f>AU!AO119</f>
        <v>0</v>
      </c>
      <c r="W64" s="647"/>
      <c r="X64" s="687"/>
      <c r="Y64" s="643"/>
      <c r="AA64" s="643"/>
      <c r="AB64" s="643"/>
      <c r="AC64" s="643"/>
    </row>
    <row r="65" spans="1:30" x14ac:dyDescent="0.2">
      <c r="A65" s="646" t="s">
        <v>128</v>
      </c>
      <c r="B65" s="636" t="s">
        <v>132</v>
      </c>
      <c r="C65" s="636"/>
      <c r="D65" s="645"/>
      <c r="E65" s="634"/>
      <c r="F65" s="645"/>
      <c r="G65" s="634"/>
      <c r="H65" s="645"/>
      <c r="I65" s="634"/>
      <c r="J65" s="645"/>
      <c r="K65" s="634"/>
      <c r="L65" s="645"/>
      <c r="M65" s="644"/>
      <c r="N65" s="645"/>
      <c r="O65" s="634"/>
      <c r="P65" s="645"/>
      <c r="Q65" s="644"/>
      <c r="R65" s="645"/>
      <c r="S65" s="634"/>
      <c r="T65" s="645"/>
      <c r="U65" s="644"/>
      <c r="V65" s="634"/>
      <c r="W65" s="644"/>
      <c r="X65" s="687"/>
      <c r="Y65" s="643"/>
      <c r="AA65" s="643"/>
      <c r="AB65" s="643"/>
      <c r="AC65" s="643"/>
    </row>
    <row r="66" spans="1:30" x14ac:dyDescent="0.2">
      <c r="B66" s="642" t="s">
        <v>132</v>
      </c>
      <c r="C66" s="642"/>
      <c r="D66" s="648">
        <f>AU!N155</f>
        <v>375000</v>
      </c>
      <c r="E66" s="647"/>
      <c r="F66" s="139">
        <f>AU!Q155</f>
        <v>750000</v>
      </c>
      <c r="G66" s="647"/>
      <c r="H66" s="139">
        <f>AU!T155</f>
        <v>1000000</v>
      </c>
      <c r="I66" s="647"/>
      <c r="J66" s="139">
        <f>AU!W155</f>
        <v>875000</v>
      </c>
      <c r="K66" s="647"/>
      <c r="L66" s="139">
        <f>AU!Z155</f>
        <v>500000</v>
      </c>
      <c r="M66" s="647"/>
      <c r="N66" s="648">
        <f>AU!AC155</f>
        <v>250000</v>
      </c>
      <c r="O66" s="664"/>
      <c r="P66" s="648">
        <f>AU!AF155</f>
        <v>0</v>
      </c>
      <c r="Q66" s="664"/>
      <c r="R66" s="648">
        <f>AU!AI155</f>
        <v>0</v>
      </c>
      <c r="S66" s="647"/>
      <c r="T66" s="648">
        <f>AU!AL155</f>
        <v>0</v>
      </c>
      <c r="U66" s="647"/>
      <c r="V66" s="648">
        <f>AU!AO155</f>
        <v>0</v>
      </c>
      <c r="W66" s="647"/>
      <c r="X66" s="687"/>
      <c r="Y66" s="643"/>
      <c r="AA66" s="643"/>
      <c r="AB66" s="643"/>
      <c r="AC66" s="643"/>
    </row>
    <row r="67" spans="1:30" x14ac:dyDescent="0.2">
      <c r="A67" s="646" t="s">
        <v>133</v>
      </c>
      <c r="B67" s="636" t="s">
        <v>134</v>
      </c>
      <c r="C67" s="636"/>
      <c r="D67" s="645"/>
      <c r="E67" s="644"/>
      <c r="F67" s="645"/>
      <c r="G67" s="644"/>
      <c r="H67" s="645"/>
      <c r="I67" s="644"/>
      <c r="J67" s="645"/>
      <c r="K67" s="644"/>
      <c r="L67" s="645"/>
      <c r="M67" s="644"/>
      <c r="N67" s="645"/>
      <c r="O67" s="644"/>
      <c r="P67" s="645"/>
      <c r="Q67" s="644"/>
      <c r="R67" s="645"/>
      <c r="S67" s="644"/>
      <c r="T67" s="645"/>
      <c r="U67" s="644"/>
      <c r="V67" s="645"/>
      <c r="W67" s="644"/>
      <c r="X67" s="687"/>
      <c r="Y67" s="643"/>
      <c r="AA67" s="643"/>
      <c r="AB67" s="643"/>
      <c r="AC67" s="643"/>
      <c r="AD67" s="643"/>
    </row>
    <row r="68" spans="1:30" x14ac:dyDescent="0.2">
      <c r="B68" s="642" t="s">
        <v>135</v>
      </c>
      <c r="C68" s="642"/>
      <c r="D68" s="640">
        <f>AU!N156</f>
        <v>0</v>
      </c>
      <c r="E68" s="639"/>
      <c r="F68" s="640">
        <f>AU!Q156</f>
        <v>0</v>
      </c>
      <c r="G68" s="639"/>
      <c r="H68" s="641">
        <f>AU!T156</f>
        <v>0</v>
      </c>
      <c r="I68" s="639"/>
      <c r="J68" s="641">
        <f>AU!W156</f>
        <v>0</v>
      </c>
      <c r="K68" s="639"/>
      <c r="L68" s="640">
        <f>AU!Z156</f>
        <v>0</v>
      </c>
      <c r="M68" s="639"/>
      <c r="N68" s="648">
        <f>AU!AC156</f>
        <v>0</v>
      </c>
      <c r="O68" s="639"/>
      <c r="P68" s="640">
        <f>AU!AF156</f>
        <v>0</v>
      </c>
      <c r="Q68" s="639"/>
      <c r="R68" s="640">
        <f>AU!AI156</f>
        <v>0</v>
      </c>
      <c r="S68" s="639"/>
      <c r="T68" s="640">
        <f>AU!AL156</f>
        <v>0</v>
      </c>
      <c r="U68" s="639"/>
      <c r="V68" s="640">
        <f>AU!AO156</f>
        <v>0</v>
      </c>
      <c r="W68" s="639"/>
      <c r="X68" s="687"/>
    </row>
    <row r="69" spans="1:30" ht="19" customHeight="1" thickBot="1" x14ac:dyDescent="0.25">
      <c r="A69" s="633" t="s">
        <v>120</v>
      </c>
      <c r="B69" s="632"/>
      <c r="C69" s="632">
        <f>SUM(D69:W69)</f>
        <v>15379209.603441538</v>
      </c>
      <c r="D69" s="638">
        <f>SUM(D5:D68)</f>
        <v>1579348.4</v>
      </c>
      <c r="E69" s="637"/>
      <c r="F69" s="638">
        <f>SUM(F5:F68)</f>
        <v>3004457.7039999999</v>
      </c>
      <c r="G69" s="637"/>
      <c r="H69" s="638">
        <f>SUM(H5:H68)</f>
        <v>4016678.4039599998</v>
      </c>
      <c r="I69" s="637"/>
      <c r="J69" s="638">
        <f>SUM(J5:J68)</f>
        <v>3438185.2448971998</v>
      </c>
      <c r="K69" s="637"/>
      <c r="L69" s="638">
        <f>SUM(L5:L68)</f>
        <v>2166890.9904847117</v>
      </c>
      <c r="M69" s="631"/>
      <c r="N69" s="630">
        <f>SUM(N5:N68)</f>
        <v>1173648.8600996267</v>
      </c>
      <c r="O69" s="637"/>
      <c r="P69" s="638">
        <f>SUM(P5:P68)</f>
        <v>0</v>
      </c>
      <c r="Q69" s="637"/>
      <c r="R69" s="638">
        <f>SUM(R5:R68)</f>
        <v>0</v>
      </c>
      <c r="S69" s="637"/>
      <c r="T69" s="638">
        <f>SUM(T5:T68)</f>
        <v>0</v>
      </c>
      <c r="U69" s="637"/>
      <c r="V69" s="638">
        <f>SUM(V5:V68)</f>
        <v>0</v>
      </c>
      <c r="W69" s="678"/>
      <c r="X69" s="687"/>
    </row>
    <row r="70" spans="1:30" ht="16" thickTop="1" x14ac:dyDescent="0.2">
      <c r="D70" s="68"/>
      <c r="E70" s="68"/>
    </row>
    <row r="71" spans="1:30" x14ac:dyDescent="0.2">
      <c r="D71" s="68"/>
      <c r="E71" s="68"/>
    </row>
    <row r="72" spans="1:30" x14ac:dyDescent="0.2">
      <c r="A72" s="684"/>
      <c r="B72" s="681" t="s">
        <v>136</v>
      </c>
      <c r="C72" s="682"/>
      <c r="D72" s="683"/>
      <c r="E72" s="683"/>
      <c r="F72" s="683"/>
      <c r="G72" s="683"/>
      <c r="H72" s="683"/>
      <c r="I72" s="683"/>
      <c r="J72" s="683"/>
      <c r="K72" s="683"/>
      <c r="L72" s="683"/>
      <c r="M72" s="683"/>
      <c r="N72" s="683"/>
      <c r="O72" s="683"/>
      <c r="P72" s="683"/>
      <c r="Q72" s="683"/>
      <c r="R72" s="683"/>
      <c r="S72" s="683"/>
      <c r="T72" s="683"/>
      <c r="U72" s="683"/>
      <c r="V72" s="683"/>
      <c r="W72" s="685"/>
      <c r="X72" s="687"/>
    </row>
    <row r="73" spans="1:30" ht="16" thickBot="1" x14ac:dyDescent="0.25">
      <c r="A73" s="679" t="s">
        <v>120</v>
      </c>
      <c r="B73" s="680"/>
      <c r="C73" s="680">
        <f>SUM(D73:W73)</f>
        <v>0</v>
      </c>
      <c r="D73" s="638">
        <f>AU!N164</f>
        <v>0</v>
      </c>
      <c r="E73" s="638"/>
      <c r="F73" s="638">
        <f>AU!Q164</f>
        <v>0</v>
      </c>
      <c r="G73" s="638"/>
      <c r="H73" s="638">
        <f>AU!T164</f>
        <v>0</v>
      </c>
      <c r="I73" s="638"/>
      <c r="J73" s="638">
        <f>AU!W164</f>
        <v>0</v>
      </c>
      <c r="K73" s="638"/>
      <c r="L73" s="638">
        <f>AU!Z164</f>
        <v>0</v>
      </c>
      <c r="M73" s="637"/>
      <c r="N73" s="638">
        <f>AU!AC164</f>
        <v>0</v>
      </c>
      <c r="O73" s="637"/>
      <c r="P73" s="638">
        <f>AU!AF164</f>
        <v>0</v>
      </c>
      <c r="Q73" s="637"/>
      <c r="R73" s="638">
        <f>AU!AI164</f>
        <v>0</v>
      </c>
      <c r="S73" s="638"/>
      <c r="T73" s="638">
        <f>AU!AL164</f>
        <v>0</v>
      </c>
      <c r="U73" s="638"/>
      <c r="V73" s="638">
        <f>AU!AO164</f>
        <v>0</v>
      </c>
      <c r="W73" s="686"/>
      <c r="X73" s="687"/>
    </row>
    <row r="74" spans="1:30" ht="16" thickTop="1" x14ac:dyDescent="0.2"/>
  </sheetData>
  <sheetProtection sheet="1" formatColumns="0" formatRows="0"/>
  <mergeCells count="11">
    <mergeCell ref="V2:W2"/>
    <mergeCell ref="B2:C2"/>
    <mergeCell ref="D2:E2"/>
    <mergeCell ref="F2:G2"/>
    <mergeCell ref="H2:I2"/>
    <mergeCell ref="J2:K2"/>
    <mergeCell ref="L2:M2"/>
    <mergeCell ref="N2:O2"/>
    <mergeCell ref="P2:Q2"/>
    <mergeCell ref="R2:S2"/>
    <mergeCell ref="T2:U2"/>
  </mergeCells>
  <dataValidations count="2">
    <dataValidation allowBlank="1" showErrorMessage="1" promptTitle="Click on icon |Max 32 characters" prompt="MAX 240 characters! MAX 240 characters! MAX 240 characters! MAX 240 characters! MAX 240 characters! MAX 240 characters!MAX 240 characters! MAX 240 characters! MAX 240 characters!MAX 240 characters! MAX 240 characters! MAX 240 characters! ................." sqref="F1" xr:uid="{5AE6E09D-8092-43F8-B523-E1A9030C56EE}"/>
    <dataValidation type="decimal" allowBlank="1" showInputMessage="1" showErrorMessage="1" sqref="F1" xr:uid="{1A72CA6F-322C-493F-97FE-74C27BB8FF6C}">
      <formula1>0</formula1>
      <formula2>3</formula2>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0D97D59C-134D-4231-B11B-BCA19C00E35E}">
            <xm:f>AU!$E$120="No"</xm:f>
            <x14:dxf>
              <font>
                <color theme="0" tint="-0.14996795556505021"/>
              </font>
              <fill>
                <patternFill>
                  <bgColor theme="0" tint="-0.14996795556505021"/>
                </patternFill>
              </fill>
            </x14:dxf>
          </x14:cfRule>
          <xm:sqref>A55:W55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0CC8D-32C9-4CDD-9056-DA204488B677}">
  <sheetPr>
    <tabColor theme="0" tint="-4.9989318521683403E-2"/>
  </sheetPr>
  <dimension ref="A1:K35"/>
  <sheetViews>
    <sheetView showGridLines="0" zoomScaleNormal="100" workbookViewId="0">
      <selection activeCell="A4" sqref="A4"/>
    </sheetView>
  </sheetViews>
  <sheetFormatPr baseColWidth="10" defaultColWidth="8.83203125" defaultRowHeight="15" x14ac:dyDescent="0.2"/>
  <cols>
    <col min="1" max="1" width="7" customWidth="1"/>
    <col min="2" max="2" width="32.83203125" bestFit="1" customWidth="1"/>
    <col min="3" max="3" width="10.1640625" customWidth="1"/>
    <col min="4" max="4" width="13.1640625" customWidth="1"/>
    <col min="5" max="5" width="17.33203125" customWidth="1"/>
    <col min="6" max="6" width="10" customWidth="1"/>
    <col min="7" max="7" width="6.33203125" hidden="1" customWidth="1"/>
    <col min="8" max="8" width="31.6640625" hidden="1" customWidth="1"/>
    <col min="9" max="9" width="11.33203125" hidden="1" customWidth="1"/>
    <col min="10" max="10" width="9.5" hidden="1" customWidth="1"/>
    <col min="11" max="11" width="1.5" hidden="1" customWidth="1"/>
  </cols>
  <sheetData>
    <row r="1" spans="1:11" s="3" customFormat="1" x14ac:dyDescent="0.2">
      <c r="A1" s="299" t="s">
        <v>137</v>
      </c>
      <c r="B1" s="178" t="s">
        <v>138</v>
      </c>
      <c r="F1"/>
    </row>
    <row r="2" spans="1:11" ht="16" thickBot="1" x14ac:dyDescent="0.25">
      <c r="A2" s="300" t="s">
        <v>139</v>
      </c>
      <c r="B2" s="178" t="s">
        <v>140</v>
      </c>
      <c r="C2" s="138"/>
      <c r="D2" s="138"/>
      <c r="E2" s="138"/>
    </row>
    <row r="3" spans="1:11" ht="19" x14ac:dyDescent="0.25">
      <c r="B3" s="783" t="s">
        <v>141</v>
      </c>
      <c r="C3" s="783"/>
      <c r="D3" s="783"/>
      <c r="G3" s="41" t="s">
        <v>142</v>
      </c>
      <c r="H3" s="41"/>
      <c r="I3" s="42">
        <v>15</v>
      </c>
      <c r="J3" s="41" t="s">
        <v>143</v>
      </c>
      <c r="K3" s="41"/>
    </row>
    <row r="4" spans="1:11" ht="16" thickBot="1" x14ac:dyDescent="0.25"/>
    <row r="5" spans="1:11" ht="16" thickBot="1" x14ac:dyDescent="0.25">
      <c r="A5" s="14"/>
      <c r="B5" s="15" t="s">
        <v>144</v>
      </c>
      <c r="C5" s="16" t="s">
        <v>145</v>
      </c>
      <c r="D5" s="16" t="s">
        <v>146</v>
      </c>
      <c r="E5" s="17" t="s">
        <v>147</v>
      </c>
      <c r="G5" s="14"/>
      <c r="H5" s="15" t="s">
        <v>148</v>
      </c>
      <c r="I5" s="16" t="s">
        <v>145</v>
      </c>
      <c r="J5" s="16" t="s">
        <v>146</v>
      </c>
      <c r="K5" s="17" t="s">
        <v>147</v>
      </c>
    </row>
    <row r="6" spans="1:11" x14ac:dyDescent="0.2">
      <c r="A6" s="18"/>
      <c r="B6" s="19" t="s">
        <v>149</v>
      </c>
      <c r="C6" s="18"/>
      <c r="D6" s="18"/>
      <c r="E6" s="20"/>
      <c r="G6" s="18"/>
      <c r="H6" s="19" t="s">
        <v>149</v>
      </c>
      <c r="I6" s="18"/>
      <c r="J6" s="18"/>
      <c r="K6" s="20"/>
    </row>
    <row r="7" spans="1:11" x14ac:dyDescent="0.2">
      <c r="A7" s="21">
        <v>111</v>
      </c>
      <c r="B7" s="22" t="s">
        <v>150</v>
      </c>
      <c r="C7" s="59">
        <v>78000</v>
      </c>
      <c r="D7" s="59">
        <v>85000</v>
      </c>
      <c r="E7" s="60">
        <v>88000</v>
      </c>
      <c r="G7" s="21">
        <v>111</v>
      </c>
      <c r="H7" s="22" t="s">
        <v>150</v>
      </c>
      <c r="I7" s="61">
        <f>C7*($I$3/37)</f>
        <v>31621.621621621623</v>
      </c>
      <c r="J7" s="61">
        <f t="shared" ref="J7:K26" si="0">D7*($I$3/37)</f>
        <v>34459.45945945946</v>
      </c>
      <c r="K7" s="62">
        <f t="shared" si="0"/>
        <v>35675.67567567568</v>
      </c>
    </row>
    <row r="8" spans="1:11" x14ac:dyDescent="0.2">
      <c r="A8" s="21">
        <v>114</v>
      </c>
      <c r="B8" s="22" t="s">
        <v>151</v>
      </c>
      <c r="C8" s="59">
        <v>74000</v>
      </c>
      <c r="D8" s="59">
        <v>76000</v>
      </c>
      <c r="E8" s="59">
        <v>77000</v>
      </c>
      <c r="G8" s="21">
        <v>114</v>
      </c>
      <c r="H8" s="22" t="s">
        <v>151</v>
      </c>
      <c r="I8" s="61">
        <f t="shared" ref="I8:I26" si="1">C8*($I$3/37)</f>
        <v>30000</v>
      </c>
      <c r="J8" s="61">
        <f t="shared" si="0"/>
        <v>30810.810810810814</v>
      </c>
      <c r="K8" s="61">
        <f t="shared" si="0"/>
        <v>31216.216216216217</v>
      </c>
    </row>
    <row r="9" spans="1:11" x14ac:dyDescent="0.2">
      <c r="A9" s="21">
        <v>121</v>
      </c>
      <c r="B9" s="22" t="s">
        <v>152</v>
      </c>
      <c r="C9" s="59">
        <v>63000</v>
      </c>
      <c r="D9" s="59">
        <v>68000</v>
      </c>
      <c r="E9" s="59">
        <v>70000</v>
      </c>
      <c r="G9" s="21">
        <v>121</v>
      </c>
      <c r="H9" s="22" t="s">
        <v>152</v>
      </c>
      <c r="I9" s="61">
        <f t="shared" si="1"/>
        <v>25540.540540540544</v>
      </c>
      <c r="J9" s="61">
        <f t="shared" si="0"/>
        <v>27567.56756756757</v>
      </c>
      <c r="K9" s="61">
        <f t="shared" si="0"/>
        <v>28378.37837837838</v>
      </c>
    </row>
    <row r="10" spans="1:11" x14ac:dyDescent="0.2">
      <c r="A10" s="21">
        <v>124</v>
      </c>
      <c r="B10" s="22" t="s">
        <v>153</v>
      </c>
      <c r="C10" s="59">
        <v>57000</v>
      </c>
      <c r="D10" s="59">
        <v>64000</v>
      </c>
      <c r="E10" s="59">
        <v>68000</v>
      </c>
      <c r="G10" s="21">
        <v>124</v>
      </c>
      <c r="H10" s="22" t="s">
        <v>153</v>
      </c>
      <c r="I10" s="61">
        <f t="shared" si="1"/>
        <v>23108.10810810811</v>
      </c>
      <c r="J10" s="61">
        <f t="shared" si="0"/>
        <v>25945.945945945947</v>
      </c>
      <c r="K10" s="61">
        <f t="shared" si="0"/>
        <v>27567.56756756757</v>
      </c>
    </row>
    <row r="11" spans="1:11" x14ac:dyDescent="0.2">
      <c r="A11" s="21">
        <v>131</v>
      </c>
      <c r="B11" s="22" t="s">
        <v>154</v>
      </c>
      <c r="C11" s="59">
        <v>52000</v>
      </c>
      <c r="D11" s="59">
        <v>54000</v>
      </c>
      <c r="E11" s="59">
        <v>55000</v>
      </c>
      <c r="G11" s="21">
        <v>131</v>
      </c>
      <c r="H11" s="22" t="s">
        <v>154</v>
      </c>
      <c r="I11" s="61">
        <f t="shared" si="1"/>
        <v>21081.081081081084</v>
      </c>
      <c r="J11" s="61">
        <f t="shared" si="0"/>
        <v>21891.891891891893</v>
      </c>
      <c r="K11" s="61">
        <f t="shared" si="0"/>
        <v>22297.2972972973</v>
      </c>
    </row>
    <row r="12" spans="1:11" x14ac:dyDescent="0.2">
      <c r="A12" s="21">
        <v>137</v>
      </c>
      <c r="B12" s="22" t="s">
        <v>155</v>
      </c>
      <c r="C12" s="59">
        <v>52000</v>
      </c>
      <c r="D12" s="59">
        <v>52000</v>
      </c>
      <c r="E12" s="59">
        <v>53000</v>
      </c>
      <c r="G12" s="21">
        <v>137</v>
      </c>
      <c r="H12" s="22" t="s">
        <v>155</v>
      </c>
      <c r="I12" s="61">
        <f t="shared" si="1"/>
        <v>21081.081081081084</v>
      </c>
      <c r="J12" s="61">
        <f t="shared" si="0"/>
        <v>21081.081081081084</v>
      </c>
      <c r="K12" s="61">
        <f t="shared" si="0"/>
        <v>21486.486486486487</v>
      </c>
    </row>
    <row r="13" spans="1:11" x14ac:dyDescent="0.2">
      <c r="A13" s="21">
        <v>154</v>
      </c>
      <c r="B13" s="22" t="s">
        <v>156</v>
      </c>
      <c r="C13" s="59">
        <v>42000</v>
      </c>
      <c r="D13" s="59">
        <v>46000</v>
      </c>
      <c r="E13" s="59">
        <v>50000</v>
      </c>
      <c r="G13" s="21">
        <v>154</v>
      </c>
      <c r="H13" s="22" t="s">
        <v>156</v>
      </c>
      <c r="I13" s="61">
        <f t="shared" si="1"/>
        <v>17027.027027027027</v>
      </c>
      <c r="J13" s="61">
        <f t="shared" si="0"/>
        <v>18648.64864864865</v>
      </c>
      <c r="K13" s="61">
        <f t="shared" si="0"/>
        <v>20270.27027027027</v>
      </c>
    </row>
    <row r="14" spans="1:11" x14ac:dyDescent="0.2">
      <c r="A14" s="21">
        <v>212</v>
      </c>
      <c r="B14" s="22" t="s">
        <v>157</v>
      </c>
      <c r="C14" s="59">
        <v>39000</v>
      </c>
      <c r="D14" s="59">
        <v>42000</v>
      </c>
      <c r="E14" s="59">
        <v>44000</v>
      </c>
      <c r="G14" s="23">
        <v>212</v>
      </c>
      <c r="H14" s="22" t="s">
        <v>157</v>
      </c>
      <c r="I14" s="61">
        <f t="shared" si="1"/>
        <v>15810.810810810812</v>
      </c>
      <c r="J14" s="61">
        <f t="shared" si="0"/>
        <v>17027.027027027027</v>
      </c>
      <c r="K14" s="61">
        <f t="shared" si="0"/>
        <v>17837.83783783784</v>
      </c>
    </row>
    <row r="15" spans="1:11" x14ac:dyDescent="0.2">
      <c r="A15" s="21"/>
      <c r="B15" s="22" t="s">
        <v>158</v>
      </c>
      <c r="C15" s="59">
        <v>19500</v>
      </c>
      <c r="D15" s="59">
        <v>21000</v>
      </c>
      <c r="E15" s="60">
        <v>22000</v>
      </c>
      <c r="G15" s="23"/>
      <c r="H15" s="22"/>
      <c r="I15" s="61">
        <f t="shared" si="1"/>
        <v>7905.4054054054059</v>
      </c>
      <c r="J15" s="61">
        <f t="shared" si="0"/>
        <v>8513.5135135135133</v>
      </c>
      <c r="K15" s="62">
        <f t="shared" si="0"/>
        <v>8918.9189189189201</v>
      </c>
    </row>
    <row r="16" spans="1:11" x14ac:dyDescent="0.2">
      <c r="A16" s="21"/>
      <c r="B16" s="22" t="s">
        <v>159</v>
      </c>
      <c r="C16" s="59">
        <v>39000</v>
      </c>
      <c r="D16" s="59">
        <v>42000</v>
      </c>
      <c r="E16" s="60">
        <v>44000</v>
      </c>
      <c r="G16" s="23"/>
      <c r="H16" s="22"/>
      <c r="I16" s="61">
        <f t="shared" si="1"/>
        <v>15810.810810810812</v>
      </c>
      <c r="J16" s="61">
        <f t="shared" si="0"/>
        <v>17027.027027027027</v>
      </c>
      <c r="K16" s="62">
        <f t="shared" si="0"/>
        <v>17837.83783783784</v>
      </c>
    </row>
    <row r="17" spans="1:11" x14ac:dyDescent="0.2">
      <c r="A17" s="65"/>
      <c r="B17" s="25" t="s">
        <v>160</v>
      </c>
      <c r="C17" s="63"/>
      <c r="D17" s="63"/>
      <c r="E17" s="64"/>
      <c r="G17" s="24"/>
      <c r="H17" s="25" t="s">
        <v>160</v>
      </c>
      <c r="I17" s="63"/>
      <c r="J17" s="63"/>
      <c r="K17" s="64"/>
    </row>
    <row r="18" spans="1:11" x14ac:dyDescent="0.2">
      <c r="A18" s="301">
        <v>421</v>
      </c>
      <c r="B18" s="302" t="s">
        <v>161</v>
      </c>
      <c r="C18" s="59">
        <v>60000</v>
      </c>
      <c r="D18" s="59">
        <v>64000</v>
      </c>
      <c r="E18" s="59">
        <v>67000</v>
      </c>
      <c r="G18" s="21">
        <v>421</v>
      </c>
      <c r="H18" s="7" t="s">
        <v>161</v>
      </c>
      <c r="I18" s="61">
        <f t="shared" si="1"/>
        <v>24324.324324324327</v>
      </c>
      <c r="J18" s="61">
        <f t="shared" si="0"/>
        <v>25945.945945945947</v>
      </c>
      <c r="K18" s="61">
        <f t="shared" si="0"/>
        <v>27162.162162162163</v>
      </c>
    </row>
    <row r="19" spans="1:11" x14ac:dyDescent="0.2">
      <c r="A19" s="301">
        <v>422</v>
      </c>
      <c r="B19" s="132" t="s">
        <v>162</v>
      </c>
      <c r="C19" s="59">
        <v>49000</v>
      </c>
      <c r="D19" s="59">
        <v>53000</v>
      </c>
      <c r="E19" s="59">
        <v>57000</v>
      </c>
      <c r="G19" s="21">
        <v>422</v>
      </c>
      <c r="H19" s="7" t="s">
        <v>163</v>
      </c>
      <c r="I19" s="61">
        <f t="shared" si="1"/>
        <v>19864.864864864867</v>
      </c>
      <c r="J19" s="61">
        <f t="shared" si="0"/>
        <v>21486.486486486487</v>
      </c>
      <c r="K19" s="61">
        <f t="shared" si="0"/>
        <v>23108.10810810811</v>
      </c>
    </row>
    <row r="20" spans="1:11" x14ac:dyDescent="0.2">
      <c r="A20" s="301">
        <v>431</v>
      </c>
      <c r="B20" s="132" t="s">
        <v>164</v>
      </c>
      <c r="C20" s="59">
        <v>40000</v>
      </c>
      <c r="D20" s="59">
        <v>45000</v>
      </c>
      <c r="E20" s="59">
        <v>49000</v>
      </c>
      <c r="G20" s="21">
        <v>431</v>
      </c>
      <c r="H20" s="7" t="s">
        <v>165</v>
      </c>
      <c r="I20" s="61">
        <f t="shared" si="1"/>
        <v>16216.216216216217</v>
      </c>
      <c r="J20" s="61">
        <f t="shared" si="0"/>
        <v>18243.243243243243</v>
      </c>
      <c r="K20" s="61">
        <f t="shared" si="0"/>
        <v>19864.864864864867</v>
      </c>
    </row>
    <row r="21" spans="1:11" x14ac:dyDescent="0.2">
      <c r="A21" s="301">
        <v>451</v>
      </c>
      <c r="B21" s="132" t="s">
        <v>166</v>
      </c>
      <c r="C21" s="59">
        <v>49000</v>
      </c>
      <c r="D21" s="59">
        <v>52000</v>
      </c>
      <c r="E21" s="59">
        <v>57000</v>
      </c>
      <c r="G21" s="21">
        <v>451</v>
      </c>
      <c r="H21" s="7" t="s">
        <v>167</v>
      </c>
      <c r="I21" s="61">
        <f t="shared" si="1"/>
        <v>19864.864864864867</v>
      </c>
      <c r="J21" s="61">
        <f t="shared" si="0"/>
        <v>21081.081081081084</v>
      </c>
      <c r="K21" s="61">
        <f t="shared" si="0"/>
        <v>23108.10810810811</v>
      </c>
    </row>
    <row r="22" spans="1:11" x14ac:dyDescent="0.2">
      <c r="A22" s="301">
        <v>461</v>
      </c>
      <c r="B22" s="132" t="s">
        <v>168</v>
      </c>
      <c r="C22" s="59">
        <v>46000</v>
      </c>
      <c r="D22" s="59">
        <v>50000</v>
      </c>
      <c r="E22" s="59">
        <v>54000</v>
      </c>
      <c r="G22" s="21">
        <v>461</v>
      </c>
      <c r="H22" s="7" t="s">
        <v>168</v>
      </c>
      <c r="I22" s="61">
        <f t="shared" si="1"/>
        <v>18648.64864864865</v>
      </c>
      <c r="J22" s="61">
        <f t="shared" si="0"/>
        <v>20270.27027027027</v>
      </c>
      <c r="K22" s="61">
        <f t="shared" si="0"/>
        <v>21891.891891891893</v>
      </c>
    </row>
    <row r="23" spans="1:11" x14ac:dyDescent="0.2">
      <c r="A23" s="301">
        <v>465</v>
      </c>
      <c r="B23" s="132" t="s">
        <v>169</v>
      </c>
      <c r="C23" s="59">
        <v>40000</v>
      </c>
      <c r="D23" s="59">
        <v>44000</v>
      </c>
      <c r="E23" s="59">
        <v>47000</v>
      </c>
      <c r="G23" s="21">
        <v>465</v>
      </c>
      <c r="H23" s="7" t="s">
        <v>170</v>
      </c>
      <c r="I23" s="61">
        <f t="shared" si="1"/>
        <v>16216.216216216217</v>
      </c>
      <c r="J23" s="61">
        <f t="shared" si="0"/>
        <v>17837.83783783784</v>
      </c>
      <c r="K23" s="61">
        <f t="shared" si="0"/>
        <v>19054.054054054057</v>
      </c>
    </row>
    <row r="24" spans="1:11" x14ac:dyDescent="0.2">
      <c r="A24" s="301">
        <v>466</v>
      </c>
      <c r="B24" s="132" t="s">
        <v>171</v>
      </c>
      <c r="C24" s="59">
        <v>39000</v>
      </c>
      <c r="D24" s="59">
        <v>48000</v>
      </c>
      <c r="E24" s="59">
        <v>55000</v>
      </c>
      <c r="G24" s="21">
        <v>466</v>
      </c>
      <c r="H24" s="7" t="s">
        <v>172</v>
      </c>
      <c r="I24" s="61">
        <f t="shared" si="1"/>
        <v>15810.810810810812</v>
      </c>
      <c r="J24" s="61">
        <f t="shared" si="0"/>
        <v>19459.45945945946</v>
      </c>
      <c r="K24" s="61">
        <f t="shared" si="0"/>
        <v>22297.2972972973</v>
      </c>
    </row>
    <row r="25" spans="1:11" x14ac:dyDescent="0.2">
      <c r="A25" s="301">
        <v>521</v>
      </c>
      <c r="B25" s="132" t="s">
        <v>173</v>
      </c>
      <c r="C25" s="61">
        <f>181.89*160.33</f>
        <v>29162.423699999999</v>
      </c>
      <c r="D25" s="61">
        <f>181.89*160.33</f>
        <v>29162.423699999999</v>
      </c>
      <c r="E25" s="61">
        <f>181.89*160.33</f>
        <v>29162.423699999999</v>
      </c>
      <c r="F25" t="s">
        <v>174</v>
      </c>
      <c r="G25" s="21">
        <v>521</v>
      </c>
      <c r="H25" s="7" t="s">
        <v>173</v>
      </c>
      <c r="I25" s="61">
        <f t="shared" si="1"/>
        <v>11822.604202702703</v>
      </c>
      <c r="J25" s="61">
        <f t="shared" si="0"/>
        <v>11822.604202702703</v>
      </c>
      <c r="K25" s="61">
        <f t="shared" si="0"/>
        <v>11822.604202702703</v>
      </c>
    </row>
    <row r="26" spans="1:11" x14ac:dyDescent="0.2">
      <c r="A26" s="303">
        <v>512</v>
      </c>
      <c r="B26" s="304" t="s">
        <v>175</v>
      </c>
      <c r="C26" s="61">
        <f>214.9*160.33</f>
        <v>34454.917000000001</v>
      </c>
      <c r="D26" s="61">
        <f>214.9*160.33</f>
        <v>34454.917000000001</v>
      </c>
      <c r="E26" s="61">
        <f>214.9*160.33</f>
        <v>34454.917000000001</v>
      </c>
      <c r="G26" s="23">
        <v>512</v>
      </c>
      <c r="H26" s="7" t="s">
        <v>175</v>
      </c>
      <c r="I26" s="61">
        <f t="shared" si="1"/>
        <v>13968.209594594597</v>
      </c>
      <c r="J26" s="61">
        <f t="shared" si="0"/>
        <v>13968.209594594597</v>
      </c>
      <c r="K26" s="61">
        <f t="shared" si="0"/>
        <v>13968.209594594597</v>
      </c>
    </row>
    <row r="27" spans="1:11" x14ac:dyDescent="0.2">
      <c r="A27" s="24"/>
      <c r="B27" s="26"/>
      <c r="C27" s="27"/>
      <c r="D27" s="28"/>
      <c r="E27" s="28"/>
      <c r="G27" s="24"/>
      <c r="H27" s="26"/>
      <c r="I27" s="27"/>
      <c r="J27" s="28"/>
      <c r="K27" s="28"/>
    </row>
    <row r="28" spans="1:11" ht="21" hidden="1" customHeight="1" x14ac:dyDescent="0.2">
      <c r="A28" s="55"/>
      <c r="B28" s="55" t="s">
        <v>176</v>
      </c>
      <c r="C28" s="55"/>
      <c r="D28" s="55" t="s">
        <v>177</v>
      </c>
      <c r="E28" s="55"/>
    </row>
    <row r="29" spans="1:11" ht="15" hidden="1" customHeight="1" x14ac:dyDescent="0.2">
      <c r="A29" s="55"/>
      <c r="B29" s="55" t="s">
        <v>178</v>
      </c>
      <c r="C29" s="55"/>
      <c r="D29" s="55" t="s">
        <v>177</v>
      </c>
      <c r="E29" s="55"/>
    </row>
    <row r="30" spans="1:11" ht="15" hidden="1" customHeight="1" x14ac:dyDescent="0.2">
      <c r="A30" s="55"/>
      <c r="B30" s="55" t="s">
        <v>179</v>
      </c>
      <c r="C30" s="55"/>
      <c r="D30" s="55" t="s">
        <v>177</v>
      </c>
      <c r="E30" s="55"/>
    </row>
    <row r="31" spans="1:11" ht="15" hidden="1" customHeight="1" x14ac:dyDescent="0.2">
      <c r="A31" s="55"/>
      <c r="B31" s="55" t="s">
        <v>180</v>
      </c>
      <c r="C31" s="55"/>
      <c r="D31" s="55" t="s">
        <v>177</v>
      </c>
      <c r="E31" s="55"/>
    </row>
    <row r="32" spans="1:11" ht="15" hidden="1" customHeight="1" x14ac:dyDescent="0.2">
      <c r="A32" s="55"/>
      <c r="B32" s="55" t="s">
        <v>181</v>
      </c>
      <c r="C32" s="55"/>
      <c r="D32" s="180">
        <v>21000</v>
      </c>
      <c r="E32" s="55"/>
    </row>
    <row r="33" spans="1:5" ht="15" hidden="1" customHeight="1" x14ac:dyDescent="0.2">
      <c r="A33" s="55"/>
      <c r="B33" s="55" t="s">
        <v>182</v>
      </c>
      <c r="C33" s="55"/>
      <c r="D33" s="180">
        <v>21000</v>
      </c>
      <c r="E33" s="55"/>
    </row>
    <row r="34" spans="1:5" ht="15" hidden="1" customHeight="1" x14ac:dyDescent="0.2">
      <c r="A34" s="55"/>
      <c r="B34" s="55" t="s">
        <v>183</v>
      </c>
      <c r="C34" s="55"/>
      <c r="D34" s="180">
        <v>42000</v>
      </c>
      <c r="E34" s="55"/>
    </row>
    <row r="35" spans="1:5" ht="15" hidden="1" customHeight="1" x14ac:dyDescent="0.2">
      <c r="A35" s="55"/>
      <c r="B35" s="55" t="s">
        <v>184</v>
      </c>
      <c r="C35" s="55"/>
      <c r="D35" s="180">
        <v>42000</v>
      </c>
      <c r="E35" s="55"/>
    </row>
  </sheetData>
  <sheetProtection sheet="1" objects="1" scenarios="1"/>
  <mergeCells count="1">
    <mergeCell ref="B3:D3"/>
  </mergeCells>
  <hyperlinks>
    <hyperlink ref="B1" r:id="rId1" display="https://medarbejdere.au.dk/fileadmin/www.medarbejdere.au.dk/Institutter/AU_oekonomi/OEkonomimanual/Ressourcemodellen/2025_-_Takstkatalog_baseret_paa_ressourcekostpriser.pdf" xr:uid="{41613B2F-26FD-497F-B08F-533D6269D5A5}"/>
    <hyperlink ref="B2" r:id="rId2" display="https://medarbejdere.au.dk/fileadmin/ingen_mappe_valgt/LON/Loensatser_pr._01.11.2025.pdf" xr:uid="{88913954-92C3-485D-909B-853C9B697F06}"/>
  </hyperlinks>
  <pageMargins left="0.7" right="0.7" top="0.75" bottom="0.75" header="0.3" footer="0.3"/>
  <pageSetup paperSize="0" orientation="portrait" horizontalDpi="0" verticalDpi="0" copies="0"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966CD-3C9A-42F3-870B-8C2EB303E609}">
  <dimension ref="A1:AC45"/>
  <sheetViews>
    <sheetView workbookViewId="0">
      <selection activeCell="J8" sqref="J8"/>
    </sheetView>
  </sheetViews>
  <sheetFormatPr baseColWidth="10" defaultColWidth="8.83203125" defaultRowHeight="15" x14ac:dyDescent="0.2"/>
  <cols>
    <col min="1" max="1" width="30.1640625" bestFit="1" customWidth="1"/>
    <col min="2" max="2" width="2.1640625" style="36" customWidth="1"/>
    <col min="3" max="3" width="26" customWidth="1"/>
    <col min="4" max="4" width="19.5" customWidth="1"/>
    <col min="5" max="5" width="29.5" customWidth="1"/>
    <col min="6" max="6" width="10.6640625" bestFit="1" customWidth="1"/>
    <col min="7" max="7" width="14.1640625" customWidth="1"/>
    <col min="8" max="8" width="13.83203125" style="36" customWidth="1"/>
    <col min="9" max="9" width="29.6640625" customWidth="1"/>
    <col min="10" max="10" width="24.33203125" bestFit="1" customWidth="1"/>
    <col min="11" max="11" width="2.1640625" style="36" customWidth="1"/>
    <col min="13" max="13" width="2.1640625" style="36" customWidth="1"/>
    <col min="14" max="14" width="35" customWidth="1"/>
    <col min="15" max="15" width="47.6640625" bestFit="1" customWidth="1"/>
    <col min="16" max="16" width="2.1640625" style="36" customWidth="1"/>
    <col min="17" max="17" width="44.5" customWidth="1"/>
    <col min="18" max="18" width="2.1640625" style="36" customWidth="1"/>
    <col min="20" max="20" width="2.1640625" style="36" customWidth="1"/>
    <col min="21" max="21" width="31.6640625" customWidth="1"/>
    <col min="22" max="22" width="2.1640625" style="36" customWidth="1"/>
    <col min="23" max="26" width="25.83203125" customWidth="1"/>
    <col min="27" max="27" width="2.1640625" style="36" customWidth="1"/>
    <col min="28" max="28" width="18.1640625" customWidth="1"/>
    <col min="29" max="29" width="2.1640625" style="36" customWidth="1"/>
  </cols>
  <sheetData>
    <row r="1" spans="1:29" s="37" customFormat="1" ht="16" thickBot="1" x14ac:dyDescent="0.25">
      <c r="A1" s="37" t="s">
        <v>26</v>
      </c>
      <c r="C1" s="37" t="s">
        <v>185</v>
      </c>
      <c r="D1" s="40"/>
      <c r="H1" s="36"/>
      <c r="I1" s="37" t="s">
        <v>186</v>
      </c>
      <c r="J1" s="36"/>
      <c r="K1" s="36"/>
      <c r="L1" s="37" t="s">
        <v>187</v>
      </c>
      <c r="N1" s="37" t="s">
        <v>188</v>
      </c>
      <c r="Q1" s="37" t="s">
        <v>189</v>
      </c>
      <c r="R1" s="36"/>
      <c r="S1" s="37" t="s">
        <v>190</v>
      </c>
      <c r="T1" s="36"/>
      <c r="U1" s="37" t="s">
        <v>191</v>
      </c>
      <c r="V1" s="36"/>
      <c r="W1" s="37" t="s">
        <v>192</v>
      </c>
      <c r="X1" s="37" t="s">
        <v>193</v>
      </c>
      <c r="Y1" s="37" t="s">
        <v>194</v>
      </c>
      <c r="Z1" s="37" t="s">
        <v>41</v>
      </c>
      <c r="AA1" s="36"/>
      <c r="AB1" s="37" t="s">
        <v>195</v>
      </c>
      <c r="AC1" s="36"/>
    </row>
    <row r="2" spans="1:29" x14ac:dyDescent="0.2">
      <c r="A2" s="131" t="s">
        <v>196</v>
      </c>
      <c r="C2" s="5" t="s">
        <v>69</v>
      </c>
      <c r="D2" s="29" t="s">
        <v>197</v>
      </c>
      <c r="E2" s="30" t="s">
        <v>198</v>
      </c>
      <c r="F2" s="30" t="s">
        <v>89</v>
      </c>
      <c r="G2" s="39" t="s">
        <v>199</v>
      </c>
      <c r="I2" s="5"/>
      <c r="J2" s="31" t="s">
        <v>132</v>
      </c>
      <c r="K2" s="38"/>
      <c r="L2" t="s">
        <v>69</v>
      </c>
      <c r="N2" s="5" t="s">
        <v>69</v>
      </c>
      <c r="O2" s="6" t="s">
        <v>200</v>
      </c>
      <c r="Q2" s="131" t="s">
        <v>69</v>
      </c>
      <c r="S2" s="4">
        <v>0</v>
      </c>
      <c r="U2" s="131" t="s">
        <v>46</v>
      </c>
      <c r="W2" s="5" t="s">
        <v>201</v>
      </c>
      <c r="X2" s="604"/>
      <c r="Y2" s="604" t="s">
        <v>202</v>
      </c>
      <c r="Z2" s="607"/>
      <c r="AB2" s="131">
        <v>1924</v>
      </c>
    </row>
    <row r="3" spans="1:29" x14ac:dyDescent="0.2">
      <c r="A3" s="129" t="s">
        <v>203</v>
      </c>
      <c r="C3" s="7" t="s">
        <v>30</v>
      </c>
      <c r="D3" s="343" t="s">
        <v>204</v>
      </c>
      <c r="E3" s="8">
        <f>_xlfn.XLOOKUP($D3,$I:$I,J:J)</f>
        <v>250000</v>
      </c>
      <c r="F3" s="8">
        <v>80000</v>
      </c>
      <c r="G3" s="9">
        <v>120000</v>
      </c>
      <c r="H3" s="38"/>
      <c r="I3" s="7" t="s">
        <v>204</v>
      </c>
      <c r="J3" s="8">
        <v>250000</v>
      </c>
      <c r="K3" s="38"/>
      <c r="L3" t="s">
        <v>91</v>
      </c>
      <c r="N3" s="7" t="s">
        <v>150</v>
      </c>
      <c r="O3" s="33">
        <v>0</v>
      </c>
      <c r="Q3" s="129" t="s">
        <v>205</v>
      </c>
      <c r="S3" s="4">
        <v>0.01</v>
      </c>
      <c r="U3" s="129" t="s">
        <v>206</v>
      </c>
      <c r="W3" s="7" t="s">
        <v>207</v>
      </c>
      <c r="X3" s="603"/>
      <c r="Y3" s="603" t="s">
        <v>202</v>
      </c>
      <c r="Z3" s="606"/>
      <c r="AB3" s="129">
        <v>1642</v>
      </c>
    </row>
    <row r="4" spans="1:29" ht="16" thickBot="1" x14ac:dyDescent="0.25">
      <c r="A4" s="129" t="s">
        <v>208</v>
      </c>
      <c r="C4" s="7" t="s">
        <v>209</v>
      </c>
      <c r="D4" s="343" t="s">
        <v>204</v>
      </c>
      <c r="E4" s="8">
        <f>_xlfn.XLOOKUP($D4,$I:$I,J:J)</f>
        <v>250000</v>
      </c>
      <c r="F4" s="8">
        <v>80000</v>
      </c>
      <c r="G4" s="9">
        <v>120000</v>
      </c>
      <c r="H4" s="38"/>
      <c r="I4" s="32" t="s">
        <v>210</v>
      </c>
      <c r="J4" s="12">
        <v>200000</v>
      </c>
      <c r="K4" s="38"/>
      <c r="L4" t="s">
        <v>93</v>
      </c>
      <c r="N4" s="7" t="s">
        <v>151</v>
      </c>
      <c r="O4" s="33">
        <v>0</v>
      </c>
      <c r="Q4" s="129" t="s">
        <v>211</v>
      </c>
      <c r="S4" s="4">
        <v>0.02</v>
      </c>
      <c r="U4" s="130" t="s">
        <v>107</v>
      </c>
      <c r="W4" s="7" t="s">
        <v>212</v>
      </c>
      <c r="X4" s="603"/>
      <c r="Y4" s="603" t="s">
        <v>202</v>
      </c>
      <c r="Z4" s="606"/>
      <c r="AB4" s="130">
        <v>1500</v>
      </c>
    </row>
    <row r="5" spans="1:29" x14ac:dyDescent="0.2">
      <c r="A5" s="129" t="s">
        <v>213</v>
      </c>
      <c r="C5" s="7" t="s">
        <v>214</v>
      </c>
      <c r="D5" s="343" t="s">
        <v>204</v>
      </c>
      <c r="E5" s="8">
        <f>_xlfn.XLOOKUP($D5,$I:$I,J:J)</f>
        <v>250000</v>
      </c>
      <c r="F5" s="8">
        <v>40000</v>
      </c>
      <c r="G5" s="9">
        <v>40000</v>
      </c>
      <c r="H5" s="38"/>
      <c r="I5" s="8"/>
      <c r="J5" s="8"/>
      <c r="K5" s="38"/>
      <c r="N5" s="7" t="s">
        <v>152</v>
      </c>
      <c r="O5" s="33">
        <v>0</v>
      </c>
      <c r="Q5" s="129" t="s">
        <v>215</v>
      </c>
      <c r="S5" s="4">
        <v>0.03</v>
      </c>
      <c r="W5" s="7" t="s">
        <v>47</v>
      </c>
      <c r="X5" s="603"/>
      <c r="Y5" s="603" t="s">
        <v>216</v>
      </c>
      <c r="Z5" s="606">
        <v>8000</v>
      </c>
    </row>
    <row r="6" spans="1:29" x14ac:dyDescent="0.2">
      <c r="A6" s="129" t="s">
        <v>217</v>
      </c>
      <c r="C6" s="7" t="s">
        <v>218</v>
      </c>
      <c r="D6" s="343" t="s">
        <v>210</v>
      </c>
      <c r="E6" s="8">
        <f>_xlfn.XLOOKUP($D6,$I:$I,J:J)</f>
        <v>200000</v>
      </c>
      <c r="F6" s="8">
        <v>104200</v>
      </c>
      <c r="G6" s="9">
        <v>75000</v>
      </c>
      <c r="H6" s="38"/>
      <c r="I6" s="8"/>
      <c r="J6" s="8"/>
      <c r="K6" s="38"/>
      <c r="N6" s="7" t="s">
        <v>153</v>
      </c>
      <c r="O6" s="33">
        <v>0</v>
      </c>
      <c r="Q6" s="129" t="s">
        <v>219</v>
      </c>
      <c r="S6" s="4">
        <v>0.04</v>
      </c>
      <c r="W6" s="7" t="s">
        <v>220</v>
      </c>
      <c r="X6" s="603">
        <v>0.05</v>
      </c>
      <c r="Y6" s="603" t="s">
        <v>216</v>
      </c>
      <c r="Z6" s="606">
        <v>8000</v>
      </c>
    </row>
    <row r="7" spans="1:29" ht="16" thickBot="1" x14ac:dyDescent="0.25">
      <c r="A7" s="129" t="s">
        <v>221</v>
      </c>
      <c r="C7" s="10" t="s">
        <v>222</v>
      </c>
      <c r="D7" s="11" t="s">
        <v>210</v>
      </c>
      <c r="E7" s="12">
        <f>_xlfn.XLOOKUP($D7,$I:$I,J:J)</f>
        <v>200000</v>
      </c>
      <c r="F7" s="12">
        <v>104200</v>
      </c>
      <c r="G7" s="13">
        <v>75000</v>
      </c>
      <c r="H7" s="38"/>
      <c r="I7" s="8"/>
      <c r="J7" s="8"/>
      <c r="K7" s="38"/>
      <c r="N7" s="7" t="s">
        <v>154</v>
      </c>
      <c r="O7" s="33">
        <v>0</v>
      </c>
      <c r="Q7" s="129" t="s">
        <v>223</v>
      </c>
      <c r="S7" s="4">
        <v>0.05</v>
      </c>
      <c r="W7" s="7" t="s">
        <v>224</v>
      </c>
      <c r="X7" s="603"/>
      <c r="Y7" s="603" t="s">
        <v>202</v>
      </c>
      <c r="Z7" s="606"/>
    </row>
    <row r="8" spans="1:29" ht="16" thickBot="1" x14ac:dyDescent="0.25">
      <c r="A8" s="129" t="s">
        <v>225</v>
      </c>
      <c r="C8" s="3" t="s">
        <v>226</v>
      </c>
      <c r="F8" s="44"/>
      <c r="G8" s="44"/>
      <c r="N8" s="7" t="s">
        <v>155</v>
      </c>
      <c r="O8" s="33">
        <v>1</v>
      </c>
      <c r="Q8" s="129" t="s">
        <v>227</v>
      </c>
      <c r="S8" s="4">
        <v>0.06</v>
      </c>
      <c r="W8" s="7" t="s">
        <v>228</v>
      </c>
      <c r="X8" s="603"/>
      <c r="Y8" s="603" t="s">
        <v>202</v>
      </c>
      <c r="Z8" s="606"/>
    </row>
    <row r="9" spans="1:29" x14ac:dyDescent="0.2">
      <c r="A9" s="129" t="s">
        <v>27</v>
      </c>
      <c r="C9" s="5" t="s">
        <v>116</v>
      </c>
      <c r="D9" s="173"/>
      <c r="E9" s="173">
        <v>0</v>
      </c>
      <c r="F9" s="6"/>
      <c r="N9" s="7" t="s">
        <v>156</v>
      </c>
      <c r="O9" s="33">
        <v>1</v>
      </c>
      <c r="Q9" s="129" t="s">
        <v>229</v>
      </c>
      <c r="S9" s="4">
        <v>7.0000000000000007E-2</v>
      </c>
      <c r="W9" s="7" t="s">
        <v>230</v>
      </c>
      <c r="X9" s="603"/>
      <c r="Y9" s="603" t="s">
        <v>202</v>
      </c>
      <c r="Z9" s="606"/>
    </row>
    <row r="10" spans="1:29" ht="16" thickBot="1" x14ac:dyDescent="0.25">
      <c r="A10" s="130" t="s">
        <v>231</v>
      </c>
      <c r="C10" s="7" t="s">
        <v>30</v>
      </c>
      <c r="D10" t="s">
        <v>204</v>
      </c>
      <c r="E10" s="8">
        <f>_xlfn.XLOOKUP($D10,$I:$I,J:J)</f>
        <v>250000</v>
      </c>
      <c r="F10" s="33"/>
      <c r="N10" s="7" t="s">
        <v>157</v>
      </c>
      <c r="O10" s="33">
        <v>1</v>
      </c>
      <c r="Q10" s="129" t="s">
        <v>232</v>
      </c>
      <c r="S10" s="4">
        <v>0.08</v>
      </c>
      <c r="W10" s="7" t="s">
        <v>233</v>
      </c>
      <c r="X10" s="603">
        <v>0.44</v>
      </c>
      <c r="Y10" s="603" t="s">
        <v>234</v>
      </c>
      <c r="Z10" s="606"/>
    </row>
    <row r="11" spans="1:29" ht="15.75" customHeight="1" x14ac:dyDescent="0.2">
      <c r="C11" s="7" t="s">
        <v>209</v>
      </c>
      <c r="D11" t="s">
        <v>204</v>
      </c>
      <c r="E11" s="8">
        <f t="shared" ref="E11:E16" si="0">_xlfn.XLOOKUP($D11,$I:$I,J:J)</f>
        <v>250000</v>
      </c>
      <c r="F11" s="33"/>
      <c r="N11" s="7" t="s">
        <v>181</v>
      </c>
      <c r="O11" s="33">
        <v>1</v>
      </c>
      <c r="Q11" s="129" t="s">
        <v>235</v>
      </c>
      <c r="S11" s="4">
        <v>0.09</v>
      </c>
      <c r="W11" s="7" t="s">
        <v>236</v>
      </c>
      <c r="X11" s="603">
        <v>0.44</v>
      </c>
      <c r="Y11" s="603" t="s">
        <v>234</v>
      </c>
      <c r="Z11" s="606"/>
    </row>
    <row r="12" spans="1:29" x14ac:dyDescent="0.2">
      <c r="C12" s="7" t="s">
        <v>214</v>
      </c>
      <c r="D12" t="s">
        <v>204</v>
      </c>
      <c r="E12" s="8">
        <f t="shared" si="0"/>
        <v>250000</v>
      </c>
      <c r="F12" s="33"/>
      <c r="N12" s="7" t="s">
        <v>182</v>
      </c>
      <c r="O12" s="33">
        <v>0</v>
      </c>
      <c r="Q12" s="129" t="s">
        <v>237</v>
      </c>
      <c r="S12" s="4">
        <v>0.1</v>
      </c>
      <c r="W12" s="7" t="s">
        <v>238</v>
      </c>
      <c r="X12" s="603">
        <v>0.44</v>
      </c>
      <c r="Y12" s="603" t="s">
        <v>234</v>
      </c>
      <c r="Z12" s="606"/>
    </row>
    <row r="13" spans="1:29" ht="16" thickBot="1" x14ac:dyDescent="0.25">
      <c r="C13" s="7" t="s">
        <v>239</v>
      </c>
      <c r="D13" t="s">
        <v>210</v>
      </c>
      <c r="E13" s="8">
        <f t="shared" si="0"/>
        <v>200000</v>
      </c>
      <c r="F13" s="33"/>
      <c r="N13" s="7" t="s">
        <v>183</v>
      </c>
      <c r="O13" s="33">
        <v>1</v>
      </c>
      <c r="Q13" s="130" t="s">
        <v>180</v>
      </c>
      <c r="S13" s="4"/>
      <c r="W13" s="7" t="s">
        <v>240</v>
      </c>
      <c r="X13" s="603"/>
      <c r="Y13" s="603" t="s">
        <v>202</v>
      </c>
      <c r="Z13" s="606"/>
    </row>
    <row r="14" spans="1:29" ht="16" thickBot="1" x14ac:dyDescent="0.25">
      <c r="C14" s="7" t="s">
        <v>241</v>
      </c>
      <c r="D14" t="s">
        <v>210</v>
      </c>
      <c r="E14" s="8">
        <f t="shared" si="0"/>
        <v>200000</v>
      </c>
      <c r="F14" s="33"/>
      <c r="N14" s="7" t="s">
        <v>184</v>
      </c>
      <c r="O14" s="33">
        <v>0</v>
      </c>
      <c r="W14" s="7" t="s">
        <v>180</v>
      </c>
      <c r="X14" s="603"/>
      <c r="Y14" s="603" t="s">
        <v>234</v>
      </c>
      <c r="Z14" s="606"/>
    </row>
    <row r="15" spans="1:29" ht="16" thickBot="1" x14ac:dyDescent="0.25">
      <c r="C15" s="7" t="s">
        <v>242</v>
      </c>
      <c r="D15" t="s">
        <v>210</v>
      </c>
      <c r="E15" s="8">
        <f t="shared" si="0"/>
        <v>200000</v>
      </c>
      <c r="F15" s="33"/>
      <c r="N15" s="7" t="s">
        <v>179</v>
      </c>
      <c r="O15" s="33">
        <v>1</v>
      </c>
      <c r="Q15" s="297" t="s">
        <v>243</v>
      </c>
      <c r="W15" s="10" t="s">
        <v>244</v>
      </c>
      <c r="X15" s="605"/>
      <c r="Y15" s="605" t="s">
        <v>202</v>
      </c>
      <c r="Z15" s="608"/>
    </row>
    <row r="16" spans="1:29" ht="16" thickBot="1" x14ac:dyDescent="0.25">
      <c r="C16" s="10" t="s">
        <v>245</v>
      </c>
      <c r="D16" s="138" t="s">
        <v>210</v>
      </c>
      <c r="E16" s="12">
        <f t="shared" si="0"/>
        <v>200000</v>
      </c>
      <c r="F16" s="34"/>
      <c r="N16" s="7" t="s">
        <v>176</v>
      </c>
      <c r="O16" s="33">
        <v>1</v>
      </c>
      <c r="Q16" s="298" t="s">
        <v>129</v>
      </c>
    </row>
    <row r="17" spans="3:26" ht="16" thickBot="1" x14ac:dyDescent="0.25">
      <c r="N17" s="10" t="s">
        <v>178</v>
      </c>
      <c r="O17" s="34">
        <v>0</v>
      </c>
      <c r="Q17" s="129" t="s">
        <v>87</v>
      </c>
      <c r="W17" s="3" t="s">
        <v>246</v>
      </c>
      <c r="X17" s="3"/>
      <c r="Y17" s="3"/>
      <c r="Z17" s="3"/>
    </row>
    <row r="18" spans="3:26" x14ac:dyDescent="0.2">
      <c r="N18" s="30"/>
      <c r="O18" s="173"/>
      <c r="Q18" s="129" t="s">
        <v>205</v>
      </c>
      <c r="W18" s="131" t="s">
        <v>201</v>
      </c>
    </row>
    <row r="19" spans="3:26" ht="16" thickBot="1" x14ac:dyDescent="0.25">
      <c r="C19" s="319" t="s">
        <v>30</v>
      </c>
      <c r="D19" s="319" t="s">
        <v>209</v>
      </c>
      <c r="E19" s="319" t="s">
        <v>214</v>
      </c>
      <c r="F19" s="319" t="s">
        <v>218</v>
      </c>
      <c r="G19" s="319" t="s">
        <v>222</v>
      </c>
      <c r="H19" s="319" t="s">
        <v>180</v>
      </c>
      <c r="N19" s="3" t="s">
        <v>247</v>
      </c>
      <c r="Q19" s="129" t="s">
        <v>235</v>
      </c>
      <c r="W19" s="129" t="s">
        <v>207</v>
      </c>
    </row>
    <row r="20" spans="3:26" x14ac:dyDescent="0.2">
      <c r="C20" s="22" t="s">
        <v>248</v>
      </c>
      <c r="D20" s="22" t="s">
        <v>249</v>
      </c>
      <c r="E20" s="22" t="s">
        <v>250</v>
      </c>
      <c r="F20" s="22" t="s">
        <v>251</v>
      </c>
      <c r="G20" s="22" t="s">
        <v>252</v>
      </c>
      <c r="H20" s="22"/>
      <c r="N20" s="35"/>
      <c r="O20" s="6" t="str">
        <f>O2</f>
        <v>Applicable for project supplement? (0 = No, 1 = Yes)</v>
      </c>
      <c r="Q20" s="129" t="s">
        <v>253</v>
      </c>
      <c r="W20" s="129" t="s">
        <v>212</v>
      </c>
    </row>
    <row r="21" spans="3:26" x14ac:dyDescent="0.2">
      <c r="C21" s="22" t="s">
        <v>254</v>
      </c>
      <c r="D21" s="22" t="s">
        <v>255</v>
      </c>
      <c r="E21" s="22" t="s">
        <v>256</v>
      </c>
      <c r="F21" s="22" t="s">
        <v>257</v>
      </c>
      <c r="G21" s="22" t="s">
        <v>258</v>
      </c>
      <c r="H21" s="22"/>
      <c r="N21" s="7" t="s">
        <v>69</v>
      </c>
      <c r="O21" s="33"/>
      <c r="Q21" s="129"/>
      <c r="W21" s="129" t="s">
        <v>47</v>
      </c>
    </row>
    <row r="22" spans="3:26" x14ac:dyDescent="0.2">
      <c r="C22" s="22" t="s">
        <v>259</v>
      </c>
      <c r="D22" s="22" t="s">
        <v>260</v>
      </c>
      <c r="E22" s="22" t="s">
        <v>261</v>
      </c>
      <c r="F22" s="22" t="s">
        <v>262</v>
      </c>
      <c r="G22" s="22" t="s">
        <v>245</v>
      </c>
      <c r="H22" s="22"/>
      <c r="N22" s="7" t="s">
        <v>161</v>
      </c>
      <c r="O22" s="33">
        <v>0</v>
      </c>
      <c r="Q22" s="298" t="s">
        <v>131</v>
      </c>
      <c r="W22" s="129" t="s">
        <v>224</v>
      </c>
    </row>
    <row r="23" spans="3:26" x14ac:dyDescent="0.2">
      <c r="C23" s="22" t="s">
        <v>263</v>
      </c>
      <c r="D23" s="22" t="s">
        <v>264</v>
      </c>
      <c r="E23" s="22" t="s">
        <v>265</v>
      </c>
      <c r="F23" s="22"/>
      <c r="G23" s="22" t="s">
        <v>266</v>
      </c>
      <c r="H23" s="22"/>
      <c r="N23" s="7" t="s">
        <v>162</v>
      </c>
      <c r="O23" s="33">
        <v>0</v>
      </c>
      <c r="Q23" s="298" t="s">
        <v>87</v>
      </c>
      <c r="W23" s="129" t="s">
        <v>228</v>
      </c>
    </row>
    <row r="24" spans="3:26" x14ac:dyDescent="0.2">
      <c r="C24" s="22" t="s">
        <v>267</v>
      </c>
      <c r="D24" s="22" t="s">
        <v>268</v>
      </c>
      <c r="E24" s="22" t="s">
        <v>269</v>
      </c>
      <c r="F24" s="22"/>
      <c r="G24" s="22" t="s">
        <v>270</v>
      </c>
      <c r="H24" s="22"/>
      <c r="N24" s="7" t="s">
        <v>164</v>
      </c>
      <c r="O24" s="33">
        <v>0</v>
      </c>
      <c r="Q24" s="129" t="s">
        <v>223</v>
      </c>
      <c r="W24" s="129" t="s">
        <v>230</v>
      </c>
    </row>
    <row r="25" spans="3:26" x14ac:dyDescent="0.2">
      <c r="C25" s="22" t="s">
        <v>271</v>
      </c>
      <c r="D25" s="22" t="s">
        <v>272</v>
      </c>
      <c r="E25" s="22"/>
      <c r="F25" s="22"/>
      <c r="G25" s="22" t="s">
        <v>273</v>
      </c>
      <c r="H25" s="22"/>
      <c r="N25" s="7" t="s">
        <v>166</v>
      </c>
      <c r="O25" s="33">
        <v>0</v>
      </c>
      <c r="Q25" s="129" t="s">
        <v>274</v>
      </c>
      <c r="W25" s="129" t="s">
        <v>240</v>
      </c>
    </row>
    <row r="26" spans="3:26" ht="16" thickBot="1" x14ac:dyDescent="0.25">
      <c r="C26" s="22" t="s">
        <v>275</v>
      </c>
      <c r="D26" s="22" t="s">
        <v>276</v>
      </c>
      <c r="E26" s="22"/>
      <c r="F26" s="22"/>
      <c r="G26" s="22"/>
      <c r="H26" s="22"/>
      <c r="N26" s="7" t="s">
        <v>168</v>
      </c>
      <c r="O26" s="33">
        <v>0</v>
      </c>
      <c r="Q26" s="129" t="s">
        <v>277</v>
      </c>
      <c r="W26" s="130" t="s">
        <v>244</v>
      </c>
    </row>
    <row r="27" spans="3:26" ht="16" thickBot="1" x14ac:dyDescent="0.25">
      <c r="C27" s="22" t="s">
        <v>278</v>
      </c>
      <c r="D27" s="22" t="s">
        <v>279</v>
      </c>
      <c r="E27" s="22"/>
      <c r="F27" s="22"/>
      <c r="G27" s="22"/>
      <c r="H27" s="22"/>
      <c r="N27" s="7" t="s">
        <v>169</v>
      </c>
      <c r="O27" s="33">
        <v>0</v>
      </c>
      <c r="Q27" s="130"/>
    </row>
    <row r="28" spans="3:26" x14ac:dyDescent="0.2">
      <c r="C28" s="22"/>
      <c r="D28" s="22" t="s">
        <v>280</v>
      </c>
      <c r="E28" s="22"/>
      <c r="F28" s="22"/>
      <c r="G28" s="22"/>
      <c r="H28" s="22"/>
      <c r="N28" s="7" t="s">
        <v>171</v>
      </c>
      <c r="O28" s="33">
        <v>0</v>
      </c>
    </row>
    <row r="29" spans="3:26" x14ac:dyDescent="0.2">
      <c r="C29" s="22"/>
      <c r="D29" s="22" t="s">
        <v>281</v>
      </c>
      <c r="E29" s="22"/>
      <c r="F29" s="22"/>
      <c r="G29" s="22"/>
      <c r="H29" s="22"/>
      <c r="N29" s="7" t="s">
        <v>173</v>
      </c>
      <c r="O29" s="33">
        <v>0</v>
      </c>
    </row>
    <row r="30" spans="3:26" x14ac:dyDescent="0.2">
      <c r="C30" s="22"/>
      <c r="D30" s="22" t="s">
        <v>282</v>
      </c>
      <c r="E30" s="22"/>
      <c r="F30" s="22"/>
      <c r="G30" s="22"/>
      <c r="H30" s="22"/>
      <c r="N30" s="7" t="s">
        <v>175</v>
      </c>
      <c r="O30" s="33">
        <v>0</v>
      </c>
    </row>
    <row r="31" spans="3:26" ht="16" thickBot="1" x14ac:dyDescent="0.25">
      <c r="C31" s="22"/>
      <c r="D31" s="22" t="s">
        <v>283</v>
      </c>
      <c r="E31" s="22"/>
      <c r="F31" s="22"/>
      <c r="G31" s="22"/>
      <c r="H31" s="22"/>
      <c r="N31" s="10" t="s">
        <v>180</v>
      </c>
      <c r="O31" s="34">
        <v>0</v>
      </c>
    </row>
    <row r="32" spans="3:26" x14ac:dyDescent="0.2">
      <c r="C32" s="22"/>
      <c r="D32" s="22" t="s">
        <v>284</v>
      </c>
      <c r="E32" s="22"/>
      <c r="F32" s="22"/>
      <c r="G32" s="22"/>
      <c r="H32" s="22"/>
    </row>
    <row r="33" spans="3:14" ht="16" thickBot="1" x14ac:dyDescent="0.25">
      <c r="C33" s="22"/>
      <c r="D33" s="22"/>
      <c r="E33" s="22"/>
      <c r="F33" s="22"/>
      <c r="G33" s="22"/>
      <c r="H33" s="22"/>
      <c r="N33" s="3" t="s">
        <v>285</v>
      </c>
    </row>
    <row r="34" spans="3:14" ht="16" thickBot="1" x14ac:dyDescent="0.25">
      <c r="N34" s="131" t="s">
        <v>69</v>
      </c>
    </row>
    <row r="35" spans="3:14" x14ac:dyDescent="0.2">
      <c r="C35" s="35" t="s">
        <v>286</v>
      </c>
      <c r="D35" s="30" t="s">
        <v>287</v>
      </c>
      <c r="E35" s="39" t="s">
        <v>288</v>
      </c>
      <c r="N35" s="129" t="s">
        <v>150</v>
      </c>
    </row>
    <row r="36" spans="3:14" x14ac:dyDescent="0.2">
      <c r="C36" s="7" t="s">
        <v>248</v>
      </c>
      <c r="D36" t="s">
        <v>204</v>
      </c>
      <c r="E36" s="33">
        <v>28140</v>
      </c>
      <c r="N36" s="129" t="s">
        <v>151</v>
      </c>
    </row>
    <row r="37" spans="3:14" x14ac:dyDescent="0.2">
      <c r="C37" s="7" t="s">
        <v>254</v>
      </c>
      <c r="D37" t="s">
        <v>204</v>
      </c>
      <c r="E37" s="33">
        <v>28140</v>
      </c>
      <c r="N37" s="129" t="s">
        <v>152</v>
      </c>
    </row>
    <row r="38" spans="3:14" x14ac:dyDescent="0.2">
      <c r="C38" s="7" t="s">
        <v>259</v>
      </c>
      <c r="D38" t="s">
        <v>210</v>
      </c>
      <c r="E38" s="33">
        <v>10995</v>
      </c>
      <c r="N38" s="129" t="s">
        <v>153</v>
      </c>
    </row>
    <row r="39" spans="3:14" x14ac:dyDescent="0.2">
      <c r="C39" s="7" t="s">
        <v>263</v>
      </c>
      <c r="D39" t="s">
        <v>204</v>
      </c>
      <c r="E39" s="33">
        <v>28140</v>
      </c>
      <c r="N39" s="129" t="s">
        <v>154</v>
      </c>
    </row>
    <row r="40" spans="3:14" x14ac:dyDescent="0.2">
      <c r="C40" s="7" t="s">
        <v>267</v>
      </c>
      <c r="D40" t="s">
        <v>204</v>
      </c>
      <c r="E40" s="33">
        <v>28140</v>
      </c>
      <c r="N40" s="129" t="s">
        <v>155</v>
      </c>
    </row>
    <row r="41" spans="3:14" x14ac:dyDescent="0.2">
      <c r="C41" s="7" t="s">
        <v>271</v>
      </c>
      <c r="D41" t="s">
        <v>210</v>
      </c>
      <c r="E41" s="33">
        <v>10995</v>
      </c>
      <c r="N41" s="129" t="s">
        <v>156</v>
      </c>
    </row>
    <row r="42" spans="3:14" x14ac:dyDescent="0.2">
      <c r="C42" s="7" t="s">
        <v>275</v>
      </c>
      <c r="D42" t="s">
        <v>204</v>
      </c>
      <c r="E42" s="33">
        <v>28140</v>
      </c>
      <c r="N42" s="129" t="s">
        <v>157</v>
      </c>
    </row>
    <row r="43" spans="3:14" ht="16" thickBot="1" x14ac:dyDescent="0.25">
      <c r="C43" s="10" t="s">
        <v>278</v>
      </c>
      <c r="D43" s="138" t="s">
        <v>210</v>
      </c>
      <c r="E43" s="34">
        <v>28140</v>
      </c>
      <c r="N43" s="129" t="s">
        <v>158</v>
      </c>
    </row>
    <row r="44" spans="3:14" x14ac:dyDescent="0.2">
      <c r="N44" s="129" t="s">
        <v>159</v>
      </c>
    </row>
    <row r="45" spans="3:14" ht="16" thickBot="1" x14ac:dyDescent="0.25">
      <c r="N45" s="130" t="s">
        <v>180</v>
      </c>
    </row>
  </sheetData>
  <sheetProtection sheet="1" objects="1" scenarios="1"/>
  <sortState xmlns:xlrd2="http://schemas.microsoft.com/office/spreadsheetml/2017/richdata2" ref="E20:E28">
    <sortCondition ref="E20:E28"/>
  </sortState>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c5c9556-b454-417d-ae64-b0add0de0a30">
      <Terms xmlns="http://schemas.microsoft.com/office/infopath/2007/PartnerControls"/>
    </lcf76f155ced4ddcb4097134ff3c332f>
    <TaxCatchAll xmlns="e27279b6-c29c-4728-8248-2ce3bacf0966" xsi:nil="true"/>
    <Indhold xmlns="dc5c9556-b454-417d-ae64-b0add0de0a30" xsi:nil="true"/>
    <x xmlns="dc5c9556-b454-417d-ae64-b0add0de0a30">-</x>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A21F16BBABF3724BBC4206E9563EE5ED" ma:contentTypeVersion="17" ma:contentTypeDescription="Opret et nyt dokument." ma:contentTypeScope="" ma:versionID="b863da12038162b10c4fc8f06d7b50cd">
  <xsd:schema xmlns:xsd="http://www.w3.org/2001/XMLSchema" xmlns:xs="http://www.w3.org/2001/XMLSchema" xmlns:p="http://schemas.microsoft.com/office/2006/metadata/properties" xmlns:ns2="dc5c9556-b454-417d-ae64-b0add0de0a30" xmlns:ns3="e27279b6-c29c-4728-8248-2ce3bacf0966" targetNamespace="http://schemas.microsoft.com/office/2006/metadata/properties" ma:root="true" ma:fieldsID="ba2f810ed2f8c7b59a0a581a20ac0893" ns2:_="" ns3:_="">
    <xsd:import namespace="dc5c9556-b454-417d-ae64-b0add0de0a30"/>
    <xsd:import namespace="e27279b6-c29c-4728-8248-2ce3bacf096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x" minOccurs="0"/>
                <xsd:element ref="ns2:Indhold"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5c9556-b454-417d-ae64-b0add0de0a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ledmærker"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x" ma:index="19" nillable="true" ma:displayName="x" ma:default="-" ma:format="Dropdown" ma:internalName="x">
      <xsd:simpleType>
        <xsd:restriction base="dms:Text">
          <xsd:maxLength value="255"/>
        </xsd:restriction>
      </xsd:simpleType>
    </xsd:element>
    <xsd:element name="Indhold" ma:index="20" nillable="true" ma:displayName="Indhold" ma:internalName="Indhold">
      <xsd:simpleType>
        <xsd:restriction base="dms:Text">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27279b6-c29c-4728-8248-2ce3bacf096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a7804f1-c8b1-4f9c-ba5e-f78b80d63692}" ma:internalName="TaxCatchAll" ma:showField="CatchAllData" ma:web="e27279b6-c29c-4728-8248-2ce3bacf0966">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A22FC7-2325-42A5-AFD4-F799F34B97FF}">
  <ds:schemaRefs>
    <ds:schemaRef ds:uri="http://schemas.microsoft.com/office/2006/metadata/properties"/>
    <ds:schemaRef ds:uri="e27279b6-c29c-4728-8248-2ce3bacf0966"/>
    <ds:schemaRef ds:uri="http://schemas.microsoft.com/office/2006/documentManagement/types"/>
    <ds:schemaRef ds:uri="http://purl.org/dc/term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dc5c9556-b454-417d-ae64-b0add0de0a30"/>
  </ds:schemaRefs>
</ds:datastoreItem>
</file>

<file path=customXml/itemProps2.xml><?xml version="1.0" encoding="utf-8"?>
<ds:datastoreItem xmlns:ds="http://schemas.openxmlformats.org/officeDocument/2006/customXml" ds:itemID="{BCA9BA5D-5FAC-4012-A4BE-C36A6EFFA4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5c9556-b454-417d-ae64-b0add0de0a30"/>
    <ds:schemaRef ds:uri="e27279b6-c29c-4728-8248-2ce3bacf09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672B5E-F27D-4214-9EA9-A6A6BD4DD2DE}">
  <ds:schemaRefs>
    <ds:schemaRef ds:uri="http://schemas.microsoft.com/DataMashup"/>
  </ds:schemaRefs>
</ds:datastoreItem>
</file>

<file path=customXml/itemProps4.xml><?xml version="1.0" encoding="utf-8"?>
<ds:datastoreItem xmlns:ds="http://schemas.openxmlformats.org/officeDocument/2006/customXml" ds:itemID="{3277233C-2D45-4ECD-B723-63E7B05CD9B3}">
  <ds:schemaRefs>
    <ds:schemaRef ds:uri="http://schemas.microsoft.com/sharepoint/v3/contenttype/forms"/>
  </ds:schemaRefs>
</ds:datastoreItem>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32</vt:i4>
      </vt:variant>
    </vt:vector>
  </HeadingPairs>
  <TitlesOfParts>
    <vt:vector size="39" baseType="lpstr">
      <vt:lpstr>Guide</vt:lpstr>
      <vt:lpstr>AU</vt:lpstr>
      <vt:lpstr>ReAp</vt:lpstr>
      <vt:lpstr>Overview - AU</vt:lpstr>
      <vt:lpstr>For NORMA</vt:lpstr>
      <vt:lpstr>AU salary costs 2025</vt:lpstr>
      <vt:lpstr>Lists</vt:lpstr>
      <vt:lpstr>AU_faculty_dep</vt:lpstr>
      <vt:lpstr>BenchFeeFoundation</vt:lpstr>
      <vt:lpstr>BenchFeePartner1</vt:lpstr>
      <vt:lpstr>CoFinVIPCat</vt:lpstr>
      <vt:lpstr>DateFormat</vt:lpstr>
      <vt:lpstr>DepPartner1</vt:lpstr>
      <vt:lpstr>endDate</vt:lpstr>
      <vt:lpstr>Faculty_AU</vt:lpstr>
      <vt:lpstr>FacultyPartner1</vt:lpstr>
      <vt:lpstr>Foundation</vt:lpstr>
      <vt:lpstr>Foundationdropdown</vt:lpstr>
      <vt:lpstr>Institutiondropdown</vt:lpstr>
      <vt:lpstr>InstitutionPartner1</vt:lpstr>
      <vt:lpstr>Nat_AU_deps</vt:lpstr>
      <vt:lpstr>NNFDisseminationCosts</vt:lpstr>
      <vt:lpstr>NNFOperationCosts</vt:lpstr>
      <vt:lpstr>OHFoundation</vt:lpstr>
      <vt:lpstr>OHPctCoFinancePartner1</vt:lpstr>
      <vt:lpstr>OHPctPartner1</vt:lpstr>
      <vt:lpstr>OHTerm</vt:lpstr>
      <vt:lpstr>PhD_navn</vt:lpstr>
      <vt:lpstr>PLPartner1</vt:lpstr>
      <vt:lpstr>Project_supplement_foundations</vt:lpstr>
      <vt:lpstr>Project_supplement_institutions</vt:lpstr>
      <vt:lpstr>ProjectCosts</vt:lpstr>
      <vt:lpstr>ProjectSupplementPartner1</vt:lpstr>
      <vt:lpstr>SalaryYearPartner1</vt:lpstr>
      <vt:lpstr>SciAreaPartner1</vt:lpstr>
      <vt:lpstr>startDate</vt:lpstr>
      <vt:lpstr>TAPCat</vt:lpstr>
      <vt:lpstr>TuitionFeePartner1</vt:lpstr>
      <vt:lpstr>VIPCat</vt:lpstr>
    </vt:vector>
  </TitlesOfParts>
  <Manager/>
  <Company>Aarhus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Hornung-Nissen</dc:creator>
  <cp:keywords/>
  <dc:description/>
  <cp:lastModifiedBy>Anne Færch Nielsen</cp:lastModifiedBy>
  <cp:revision/>
  <dcterms:created xsi:type="dcterms:W3CDTF">2023-11-01T10:18:36Z</dcterms:created>
  <dcterms:modified xsi:type="dcterms:W3CDTF">2026-02-16T11:12:19Z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0x010100A21F16BBABF3724BBC4206E9563EE5ED</vt:lpwstr>
  </property>
  <property fmtid="{D5CDD505-2E9C-101B-9397-08002B2CF9AE}" pid="3" name="MediaServiceImageTags">
    <vt:lpwstr/>
  </property>
</Properties>
</file>