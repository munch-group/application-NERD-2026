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11"/>
  <workbookPr codeName="Denne_projektmappe" autoCompressPictures="0"/>
  <mc:AlternateContent xmlns:mc="http://schemas.openxmlformats.org/markup-compatibility/2006">
    <mc:Choice Requires="x15">
      <x15ac:absPath xmlns:x15ac="http://schemas.microsoft.com/office/spreadsheetml/2010/11/ac" url="/Users/kmt/Dropbox/Funding/NovoProject/"/>
    </mc:Choice>
  </mc:AlternateContent>
  <xr:revisionPtr revIDLastSave="0" documentId="13_ncr:1_{ED61784C-79E7-7942-BB5E-2C3A09C1A2BA}" xr6:coauthVersionLast="36" xr6:coauthVersionMax="36" xr10:uidLastSave="{00000000-0000-0000-0000-000000000000}"/>
  <bookViews>
    <workbookView xWindow="10000" yWindow="1160" windowWidth="16260" windowHeight="25840" xr2:uid="{00000000-000D-0000-FFFF-FFFF00000000}"/>
  </bookViews>
  <sheets>
    <sheet name="DFF - RSO budget" sheetId="204" r:id="rId1"/>
    <sheet name="Guidelines" sheetId="208" r:id="rId2"/>
    <sheet name="Entries for DFF" sheetId="206" state="hidden" r:id="rId3"/>
  </sheets>
  <definedNames>
    <definedName name="AdministratorLookup">#REF!</definedName>
    <definedName name="AdministratorPartnerId">IF(AdministratorLookup="", "", IF(IFERROR(FIND("-", AdministratorLookup), 0)=0, MID(AdministratorLookup, 2, LEN(AdministratorLookup)-1), MID(AdministratorLookup, 2, FIND("-", AdministratorLookup)-3)))</definedName>
    <definedName name="BasicInformation">#REF!</definedName>
    <definedName name="BasicInformation1">ROW(INDEX(BasicInformationA, 1))</definedName>
    <definedName name="BasicInformationA">INDEX(BasicInformation, 0, 1)</definedName>
    <definedName name="BasicInformationB">INDEX(BasicInformation, 0, 2)</definedName>
    <definedName name="BasicInformationC">INDEX(BasicInformation, 0, 3)</definedName>
    <definedName name="CaseID">#REF!</definedName>
    <definedName name="FirstYear">IF(Projektstart="", "", YEAR(Projektstart))</definedName>
    <definedName name="FirstYearMonths">IF(Projektstart="", "", IF(DAY(Projektstart)&lt;=14, 13, 12.5)-MONTH(Projektstart))</definedName>
    <definedName name="LastYear">IF(Projektslut="", "", YEAR(Projektslut))</definedName>
    <definedName name="LastYearMonths">IF(Projektslut="", "", MONTH(Projektslut)-IF(DAY(Projektslut)&lt;15, 0.5, 0))</definedName>
    <definedName name="Monthsorhours">#REF!</definedName>
    <definedName name="Projektslut">#REF!</definedName>
    <definedName name="Projektstart">#REF!</definedName>
    <definedName name="Title">#REF!</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J51" i="204" l="1"/>
  <c r="E51" i="204" l="1"/>
  <c r="H51" i="204" l="1"/>
  <c r="G51" i="204"/>
  <c r="F51" i="204"/>
  <c r="F53" i="204" l="1"/>
  <c r="G53" i="204"/>
  <c r="H53" i="204"/>
  <c r="H62" i="204" s="1"/>
  <c r="G45" i="206" s="1"/>
  <c r="I53" i="204"/>
  <c r="E53" i="204"/>
  <c r="D53" i="204"/>
  <c r="D49" i="204"/>
  <c r="E49" i="204"/>
  <c r="G49" i="204"/>
  <c r="H49" i="204"/>
  <c r="F49" i="204"/>
  <c r="J48" i="204"/>
  <c r="F25" i="206" s="1"/>
  <c r="F35" i="204"/>
  <c r="F34" i="204"/>
  <c r="E34" i="204"/>
  <c r="D34" i="204"/>
  <c r="C278" i="204"/>
  <c r="N278" i="204"/>
  <c r="Y278" i="204"/>
  <c r="Y215" i="204"/>
  <c r="N215" i="204"/>
  <c r="C215" i="204"/>
  <c r="C152" i="204"/>
  <c r="N152" i="204"/>
  <c r="Y152" i="204"/>
  <c r="Y89" i="204"/>
  <c r="N89" i="204"/>
  <c r="C89" i="204"/>
  <c r="Y25" i="204"/>
  <c r="N25" i="204"/>
  <c r="C25" i="204"/>
  <c r="D27" i="204"/>
  <c r="Z4" i="204"/>
  <c r="T4" i="204"/>
  <c r="N4" i="204"/>
  <c r="G4" i="204"/>
  <c r="B4" i="204"/>
  <c r="N37" i="204"/>
  <c r="Q37" i="204" s="1"/>
  <c r="N35" i="204"/>
  <c r="R35" i="204" s="1"/>
  <c r="N34" i="204"/>
  <c r="P34" i="204" s="1"/>
  <c r="U34" i="204" s="1"/>
  <c r="H14" i="206" s="1"/>
  <c r="N33" i="204"/>
  <c r="B38" i="204"/>
  <c r="M38" i="204"/>
  <c r="B37" i="204"/>
  <c r="M37" i="204"/>
  <c r="Z291" i="204"/>
  <c r="AA291" i="204"/>
  <c r="AA289" i="204" s="1"/>
  <c r="AA290" i="204"/>
  <c r="AA292" i="204"/>
  <c r="AB291" i="204"/>
  <c r="AC291" i="204"/>
  <c r="AD291" i="204"/>
  <c r="AD289" i="204" s="1"/>
  <c r="AE291" i="204"/>
  <c r="AE290" i="204"/>
  <c r="AE292" i="204"/>
  <c r="AE289" i="204"/>
  <c r="Z292" i="204"/>
  <c r="AB292" i="204"/>
  <c r="AC292" i="204"/>
  <c r="AD292" i="204"/>
  <c r="AD290" i="204"/>
  <c r="AC290" i="204"/>
  <c r="AB290" i="204"/>
  <c r="Z290" i="204"/>
  <c r="Z289" i="204"/>
  <c r="Z281" i="204"/>
  <c r="AA281" i="204"/>
  <c r="AB281" i="204"/>
  <c r="AC281" i="204"/>
  <c r="AD281" i="204"/>
  <c r="AE281" i="204"/>
  <c r="Z282" i="204"/>
  <c r="AA282" i="204"/>
  <c r="AB282" i="204"/>
  <c r="AC282" i="204"/>
  <c r="AD282" i="204"/>
  <c r="AE282" i="204"/>
  <c r="Z283" i="204"/>
  <c r="AA283" i="204"/>
  <c r="AB283" i="204"/>
  <c r="AC283" i="204"/>
  <c r="AD283" i="204"/>
  <c r="AE283" i="204"/>
  <c r="AF283" i="204"/>
  <c r="Z284" i="204"/>
  <c r="AA284" i="204"/>
  <c r="AB284" i="204"/>
  <c r="AC284" i="204"/>
  <c r="AD284" i="204"/>
  <c r="AE284" i="204"/>
  <c r="Z285" i="204"/>
  <c r="AA285" i="204"/>
  <c r="AB285" i="204"/>
  <c r="AC285" i="204"/>
  <c r="AD285" i="204"/>
  <c r="AE285" i="204"/>
  <c r="Z286" i="204"/>
  <c r="AA286" i="204"/>
  <c r="AB286" i="204"/>
  <c r="AC286" i="204"/>
  <c r="AD286" i="204"/>
  <c r="AE286" i="204"/>
  <c r="Z287" i="204"/>
  <c r="AF287" i="204" s="1"/>
  <c r="AA287" i="204"/>
  <c r="AB287" i="204"/>
  <c r="AC287" i="204"/>
  <c r="AD287" i="204"/>
  <c r="AE287" i="204"/>
  <c r="Z288" i="204"/>
  <c r="AA288" i="204"/>
  <c r="AB288" i="204"/>
  <c r="AC288" i="204"/>
  <c r="AD288" i="204"/>
  <c r="AE288" i="204"/>
  <c r="AE280" i="204"/>
  <c r="AD280" i="204"/>
  <c r="AC280" i="204"/>
  <c r="AB280" i="204"/>
  <c r="AB279" i="204"/>
  <c r="AA280" i="204"/>
  <c r="Z280" i="204"/>
  <c r="O291" i="204"/>
  <c r="P291" i="204"/>
  <c r="P289" i="204" s="1"/>
  <c r="P290" i="204"/>
  <c r="P292" i="204"/>
  <c r="Q291" i="204"/>
  <c r="R291" i="204"/>
  <c r="S291" i="204"/>
  <c r="T291" i="204"/>
  <c r="T290" i="204"/>
  <c r="T289" i="204" s="1"/>
  <c r="T292" i="204"/>
  <c r="O292" i="204"/>
  <c r="Q292" i="204"/>
  <c r="R292" i="204"/>
  <c r="S292" i="204"/>
  <c r="S290" i="204"/>
  <c r="R290" i="204"/>
  <c r="Q290" i="204"/>
  <c r="O290" i="204"/>
  <c r="O281" i="204"/>
  <c r="P281" i="204"/>
  <c r="Q281" i="204"/>
  <c r="R281" i="204"/>
  <c r="S281" i="204"/>
  <c r="T281" i="204"/>
  <c r="O282" i="204"/>
  <c r="P282" i="204"/>
  <c r="Q282" i="204"/>
  <c r="R282" i="204"/>
  <c r="S282" i="204"/>
  <c r="T282" i="204"/>
  <c r="O283" i="204"/>
  <c r="P283" i="204"/>
  <c r="Q283" i="204"/>
  <c r="R283" i="204"/>
  <c r="S283" i="204"/>
  <c r="T283" i="204"/>
  <c r="O284" i="204"/>
  <c r="P284" i="204"/>
  <c r="Q284" i="204"/>
  <c r="R284" i="204"/>
  <c r="S284" i="204"/>
  <c r="T284" i="204"/>
  <c r="O285" i="204"/>
  <c r="P285" i="204"/>
  <c r="Q285" i="204"/>
  <c r="Q279" i="204" s="1"/>
  <c r="Q294" i="204" s="1"/>
  <c r="Q316" i="204" s="1"/>
  <c r="R285" i="204"/>
  <c r="S285" i="204"/>
  <c r="T285" i="204"/>
  <c r="O286" i="204"/>
  <c r="P286" i="204"/>
  <c r="Q286" i="204"/>
  <c r="R286" i="204"/>
  <c r="S286" i="204"/>
  <c r="T286" i="204"/>
  <c r="O287" i="204"/>
  <c r="P287" i="204"/>
  <c r="Q287" i="204"/>
  <c r="R287" i="204"/>
  <c r="S287" i="204"/>
  <c r="T287" i="204"/>
  <c r="O288" i="204"/>
  <c r="P288" i="204"/>
  <c r="Q288" i="204"/>
  <c r="R288" i="204"/>
  <c r="S288" i="204"/>
  <c r="T288" i="204"/>
  <c r="T280" i="204"/>
  <c r="S280" i="204"/>
  <c r="R280" i="204"/>
  <c r="Q280" i="204"/>
  <c r="P280" i="204"/>
  <c r="O280" i="204"/>
  <c r="D291" i="204"/>
  <c r="E291" i="204"/>
  <c r="F291" i="204"/>
  <c r="G291" i="204"/>
  <c r="H291" i="204"/>
  <c r="I291" i="204"/>
  <c r="I290" i="204"/>
  <c r="I289" i="204" s="1"/>
  <c r="I292" i="204"/>
  <c r="D292" i="204"/>
  <c r="E292" i="204"/>
  <c r="F292" i="204"/>
  <c r="G292" i="204"/>
  <c r="H292" i="204"/>
  <c r="H290" i="204"/>
  <c r="H289" i="204" s="1"/>
  <c r="G290" i="204"/>
  <c r="F290" i="204"/>
  <c r="E290" i="204"/>
  <c r="D290" i="204"/>
  <c r="J290" i="204" s="1"/>
  <c r="D281" i="204"/>
  <c r="E281" i="204"/>
  <c r="F281" i="204"/>
  <c r="G281" i="204"/>
  <c r="H281" i="204"/>
  <c r="I281" i="204"/>
  <c r="D282" i="204"/>
  <c r="E282" i="204"/>
  <c r="F282" i="204"/>
  <c r="G282" i="204"/>
  <c r="H282" i="204"/>
  <c r="I282" i="204"/>
  <c r="D283" i="204"/>
  <c r="E283" i="204"/>
  <c r="F283" i="204"/>
  <c r="G283" i="204"/>
  <c r="H283" i="204"/>
  <c r="I283" i="204"/>
  <c r="D284" i="204"/>
  <c r="E284" i="204"/>
  <c r="F284" i="204"/>
  <c r="G284" i="204"/>
  <c r="H284" i="204"/>
  <c r="I284" i="204"/>
  <c r="D285" i="204"/>
  <c r="E285" i="204"/>
  <c r="J285" i="204" s="1"/>
  <c r="F285" i="204"/>
  <c r="G285" i="204"/>
  <c r="H285" i="204"/>
  <c r="I285" i="204"/>
  <c r="D286" i="204"/>
  <c r="E286" i="204"/>
  <c r="F286" i="204"/>
  <c r="G286" i="204"/>
  <c r="H286" i="204"/>
  <c r="I286" i="204"/>
  <c r="D287" i="204"/>
  <c r="E287" i="204"/>
  <c r="F287" i="204"/>
  <c r="G287" i="204"/>
  <c r="H287" i="204"/>
  <c r="I287" i="204"/>
  <c r="D288" i="204"/>
  <c r="E288" i="204"/>
  <c r="F288" i="204"/>
  <c r="G288" i="204"/>
  <c r="H288" i="204"/>
  <c r="I288" i="204"/>
  <c r="I280" i="204"/>
  <c r="H280" i="204"/>
  <c r="G280" i="204"/>
  <c r="F280" i="204"/>
  <c r="F279" i="204"/>
  <c r="E280" i="204"/>
  <c r="D280" i="204"/>
  <c r="Z228" i="204"/>
  <c r="AA228" i="204"/>
  <c r="AB228" i="204"/>
  <c r="AC228" i="204"/>
  <c r="AD228" i="204"/>
  <c r="AE228" i="204"/>
  <c r="AE227" i="204"/>
  <c r="AE226" i="204" s="1"/>
  <c r="AE229" i="204"/>
  <c r="Z229" i="204"/>
  <c r="AA229" i="204"/>
  <c r="AB229" i="204"/>
  <c r="AC229" i="204"/>
  <c r="AD229" i="204"/>
  <c r="AD227" i="204"/>
  <c r="AC227" i="204"/>
  <c r="AB227" i="204"/>
  <c r="AA227" i="204"/>
  <c r="Z227" i="204"/>
  <c r="AF227" i="204" s="1"/>
  <c r="Z218" i="204"/>
  <c r="AA218" i="204"/>
  <c r="AF218" i="204" s="1"/>
  <c r="AF216" i="204" s="1"/>
  <c r="AB218" i="204"/>
  <c r="AC218" i="204"/>
  <c r="AD218" i="204"/>
  <c r="AE218" i="204"/>
  <c r="Z219" i="204"/>
  <c r="AA219" i="204"/>
  <c r="AB219" i="204"/>
  <c r="AC219" i="204"/>
  <c r="AD219" i="204"/>
  <c r="AE219" i="204"/>
  <c r="Z220" i="204"/>
  <c r="AA220" i="204"/>
  <c r="AB220" i="204"/>
  <c r="AC220" i="204"/>
  <c r="AD220" i="204"/>
  <c r="AE220" i="204"/>
  <c r="Z221" i="204"/>
  <c r="AA221" i="204"/>
  <c r="AB221" i="204"/>
  <c r="AC221" i="204"/>
  <c r="AD221" i="204"/>
  <c r="AE221" i="204"/>
  <c r="Z222" i="204"/>
  <c r="AA222" i="204"/>
  <c r="AB222" i="204"/>
  <c r="AC222" i="204"/>
  <c r="AD222" i="204"/>
  <c r="AE222" i="204"/>
  <c r="Z223" i="204"/>
  <c r="AA223" i="204"/>
  <c r="AB223" i="204"/>
  <c r="AC223" i="204"/>
  <c r="AD223" i="204"/>
  <c r="AE223" i="204"/>
  <c r="Z224" i="204"/>
  <c r="AA224" i="204"/>
  <c r="AB224" i="204"/>
  <c r="AC224" i="204"/>
  <c r="AD224" i="204"/>
  <c r="AE224" i="204"/>
  <c r="Z225" i="204"/>
  <c r="AA225" i="204"/>
  <c r="AB225" i="204"/>
  <c r="AC225" i="204"/>
  <c r="AD225" i="204"/>
  <c r="AE225" i="204"/>
  <c r="AE217" i="204"/>
  <c r="AD217" i="204"/>
  <c r="AC217" i="204"/>
  <c r="AB217" i="204"/>
  <c r="AA217" i="204"/>
  <c r="Z217" i="204"/>
  <c r="O228" i="204"/>
  <c r="P228" i="204"/>
  <c r="Q228" i="204"/>
  <c r="R228" i="204"/>
  <c r="S228" i="204"/>
  <c r="T228" i="204"/>
  <c r="T227" i="204"/>
  <c r="T226" i="204" s="1"/>
  <c r="T229" i="204"/>
  <c r="O229" i="204"/>
  <c r="P229" i="204"/>
  <c r="Q229" i="204"/>
  <c r="R229" i="204"/>
  <c r="S229" i="204"/>
  <c r="S227" i="204"/>
  <c r="S226" i="204" s="1"/>
  <c r="R227" i="204"/>
  <c r="Q227" i="204"/>
  <c r="P227" i="204"/>
  <c r="O227" i="204"/>
  <c r="O218" i="204"/>
  <c r="P218" i="204"/>
  <c r="Q218" i="204"/>
  <c r="R218" i="204"/>
  <c r="S218" i="204"/>
  <c r="T218" i="204"/>
  <c r="U218" i="204"/>
  <c r="O219" i="204"/>
  <c r="P219" i="204"/>
  <c r="Q219" i="204"/>
  <c r="R219" i="204"/>
  <c r="S219" i="204"/>
  <c r="T219" i="204"/>
  <c r="O220" i="204"/>
  <c r="P220" i="204"/>
  <c r="Q220" i="204"/>
  <c r="R220" i="204"/>
  <c r="S220" i="204"/>
  <c r="T220" i="204"/>
  <c r="O221" i="204"/>
  <c r="P221" i="204"/>
  <c r="Q221" i="204"/>
  <c r="R221" i="204"/>
  <c r="S221" i="204"/>
  <c r="T221" i="204"/>
  <c r="O222" i="204"/>
  <c r="P222" i="204"/>
  <c r="Q222" i="204"/>
  <c r="R222" i="204"/>
  <c r="S222" i="204"/>
  <c r="T222" i="204"/>
  <c r="O223" i="204"/>
  <c r="P223" i="204"/>
  <c r="Q223" i="204"/>
  <c r="R223" i="204"/>
  <c r="S223" i="204"/>
  <c r="T223" i="204"/>
  <c r="O224" i="204"/>
  <c r="P224" i="204"/>
  <c r="Q224" i="204"/>
  <c r="R224" i="204"/>
  <c r="S224" i="204"/>
  <c r="T224" i="204"/>
  <c r="O225" i="204"/>
  <c r="P225" i="204"/>
  <c r="Q225" i="204"/>
  <c r="R225" i="204"/>
  <c r="S225" i="204"/>
  <c r="T225" i="204"/>
  <c r="T217" i="204"/>
  <c r="S217" i="204"/>
  <c r="R217" i="204"/>
  <c r="Q217" i="204"/>
  <c r="O217" i="204"/>
  <c r="P217" i="204"/>
  <c r="U217" i="204" s="1"/>
  <c r="D228" i="204"/>
  <c r="E228" i="204"/>
  <c r="F228" i="204"/>
  <c r="G228" i="204"/>
  <c r="H228" i="204"/>
  <c r="I228" i="204"/>
  <c r="I227" i="204"/>
  <c r="I226" i="204" s="1"/>
  <c r="I229" i="204"/>
  <c r="D229" i="204"/>
  <c r="E229" i="204"/>
  <c r="F229" i="204"/>
  <c r="G229" i="204"/>
  <c r="H229" i="204"/>
  <c r="H227" i="204"/>
  <c r="H226" i="204" s="1"/>
  <c r="G227" i="204"/>
  <c r="F227" i="204"/>
  <c r="E227" i="204"/>
  <c r="J227" i="204" s="1"/>
  <c r="D227" i="204"/>
  <c r="D218" i="204"/>
  <c r="E218" i="204"/>
  <c r="J218" i="204" s="1"/>
  <c r="F218" i="204"/>
  <c r="G218" i="204"/>
  <c r="H218" i="204"/>
  <c r="I218" i="204"/>
  <c r="D219" i="204"/>
  <c r="E219" i="204"/>
  <c r="F219" i="204"/>
  <c r="G219" i="204"/>
  <c r="H219" i="204"/>
  <c r="I219" i="204"/>
  <c r="D220" i="204"/>
  <c r="E220" i="204"/>
  <c r="F220" i="204"/>
  <c r="G220" i="204"/>
  <c r="H220" i="204"/>
  <c r="I220" i="204"/>
  <c r="D221" i="204"/>
  <c r="E221" i="204"/>
  <c r="F221" i="204"/>
  <c r="G221" i="204"/>
  <c r="H221" i="204"/>
  <c r="I221" i="204"/>
  <c r="D222" i="204"/>
  <c r="E222" i="204"/>
  <c r="F222" i="204"/>
  <c r="G222" i="204"/>
  <c r="H222" i="204"/>
  <c r="I222" i="204"/>
  <c r="D223" i="204"/>
  <c r="E223" i="204"/>
  <c r="F223" i="204"/>
  <c r="G223" i="204"/>
  <c r="H223" i="204"/>
  <c r="I223" i="204"/>
  <c r="D224" i="204"/>
  <c r="E224" i="204"/>
  <c r="F224" i="204"/>
  <c r="G224" i="204"/>
  <c r="H224" i="204"/>
  <c r="I224" i="204"/>
  <c r="D225" i="204"/>
  <c r="E225" i="204"/>
  <c r="F225" i="204"/>
  <c r="G225" i="204"/>
  <c r="H225" i="204"/>
  <c r="I225" i="204"/>
  <c r="I217" i="204"/>
  <c r="H217" i="204"/>
  <c r="G217" i="204"/>
  <c r="F217" i="204"/>
  <c r="E217" i="204"/>
  <c r="D217" i="204"/>
  <c r="Z165" i="204"/>
  <c r="AA165" i="204"/>
  <c r="AB165" i="204"/>
  <c r="AC165" i="204"/>
  <c r="AD165" i="204"/>
  <c r="AE165" i="204"/>
  <c r="AE164" i="204"/>
  <c r="AE163" i="204" s="1"/>
  <c r="AE166" i="204"/>
  <c r="Z166" i="204"/>
  <c r="AA166" i="204"/>
  <c r="AB166" i="204"/>
  <c r="AC166" i="204"/>
  <c r="AC164" i="204"/>
  <c r="AC163" i="204"/>
  <c r="AD166" i="204"/>
  <c r="AD164" i="204"/>
  <c r="AD163" i="204" s="1"/>
  <c r="AB164" i="204"/>
  <c r="AA164" i="204"/>
  <c r="Z164" i="204"/>
  <c r="Z163" i="204" s="1"/>
  <c r="Z168" i="204" s="1"/>
  <c r="Z190" i="204" s="1"/>
  <c r="Z155" i="204"/>
  <c r="AF155" i="204" s="1"/>
  <c r="AA155" i="204"/>
  <c r="AB155" i="204"/>
  <c r="AC155" i="204"/>
  <c r="AD155" i="204"/>
  <c r="AE155" i="204"/>
  <c r="Z156" i="204"/>
  <c r="AA156" i="204"/>
  <c r="AA154" i="204"/>
  <c r="AA157" i="204"/>
  <c r="AA158" i="204"/>
  <c r="AA159" i="204"/>
  <c r="AA160" i="204"/>
  <c r="AA161" i="204"/>
  <c r="AA162" i="204"/>
  <c r="AA153" i="204"/>
  <c r="AB156" i="204"/>
  <c r="AC156" i="204"/>
  <c r="AD156" i="204"/>
  <c r="AE156" i="204"/>
  <c r="Z157" i="204"/>
  <c r="AB157" i="204"/>
  <c r="AC157" i="204"/>
  <c r="AD157" i="204"/>
  <c r="AE157" i="204"/>
  <c r="Z158" i="204"/>
  <c r="AB158" i="204"/>
  <c r="AC158" i="204"/>
  <c r="AD158" i="204"/>
  <c r="AE158" i="204"/>
  <c r="Z159" i="204"/>
  <c r="AB159" i="204"/>
  <c r="AC159" i="204"/>
  <c r="AD159" i="204"/>
  <c r="AE159" i="204"/>
  <c r="Z160" i="204"/>
  <c r="AB160" i="204"/>
  <c r="AC160" i="204"/>
  <c r="AD160" i="204"/>
  <c r="AE160" i="204"/>
  <c r="Z161" i="204"/>
  <c r="AB161" i="204"/>
  <c r="AC161" i="204"/>
  <c r="AC154" i="204"/>
  <c r="AC153" i="204" s="1"/>
  <c r="AC162" i="204"/>
  <c r="AD161" i="204"/>
  <c r="AE161" i="204"/>
  <c r="Z162" i="204"/>
  <c r="AB162" i="204"/>
  <c r="AD162" i="204"/>
  <c r="AE162" i="204"/>
  <c r="AE154" i="204"/>
  <c r="AD154" i="204"/>
  <c r="AB154" i="204"/>
  <c r="Z154" i="204"/>
  <c r="AF154" i="204" s="1"/>
  <c r="O165" i="204"/>
  <c r="P165" i="204"/>
  <c r="Q165" i="204"/>
  <c r="R165" i="204"/>
  <c r="S165" i="204"/>
  <c r="T165" i="204"/>
  <c r="T164" i="204"/>
  <c r="T163" i="204" s="1"/>
  <c r="T166" i="204"/>
  <c r="O166" i="204"/>
  <c r="P166" i="204"/>
  <c r="Q166" i="204"/>
  <c r="R166" i="204"/>
  <c r="S166" i="204"/>
  <c r="S164" i="204"/>
  <c r="R164" i="204"/>
  <c r="Q164" i="204"/>
  <c r="P164" i="204"/>
  <c r="O164" i="204"/>
  <c r="O155" i="204"/>
  <c r="P155" i="204"/>
  <c r="Q155" i="204"/>
  <c r="R155" i="204"/>
  <c r="R153" i="204" s="1"/>
  <c r="R154" i="204"/>
  <c r="R156" i="204"/>
  <c r="R157" i="204"/>
  <c r="R158" i="204"/>
  <c r="R159" i="204"/>
  <c r="R160" i="204"/>
  <c r="R161" i="204"/>
  <c r="R162" i="204"/>
  <c r="S155" i="204"/>
  <c r="T155" i="204"/>
  <c r="O156" i="204"/>
  <c r="P156" i="204"/>
  <c r="Q156" i="204"/>
  <c r="S156" i="204"/>
  <c r="T156" i="204"/>
  <c r="O157" i="204"/>
  <c r="P157" i="204"/>
  <c r="Q157" i="204"/>
  <c r="S157" i="204"/>
  <c r="T157" i="204"/>
  <c r="O158" i="204"/>
  <c r="P158" i="204"/>
  <c r="Q158" i="204"/>
  <c r="S158" i="204"/>
  <c r="T158" i="204"/>
  <c r="O159" i="204"/>
  <c r="P159" i="204"/>
  <c r="Q159" i="204"/>
  <c r="S159" i="204"/>
  <c r="T159" i="204"/>
  <c r="O160" i="204"/>
  <c r="P160" i="204"/>
  <c r="Q160" i="204"/>
  <c r="S160" i="204"/>
  <c r="T160" i="204"/>
  <c r="O161" i="204"/>
  <c r="P161" i="204"/>
  <c r="Q161" i="204"/>
  <c r="S161" i="204"/>
  <c r="T161" i="204"/>
  <c r="O162" i="204"/>
  <c r="P162" i="204"/>
  <c r="Q162" i="204"/>
  <c r="S162" i="204"/>
  <c r="T162" i="204"/>
  <c r="T154" i="204"/>
  <c r="S154" i="204"/>
  <c r="Q154" i="204"/>
  <c r="O154" i="204"/>
  <c r="P154" i="204"/>
  <c r="U154" i="204"/>
  <c r="D165" i="204"/>
  <c r="E165" i="204"/>
  <c r="F165" i="204"/>
  <c r="G165" i="204"/>
  <c r="H165" i="204"/>
  <c r="I165" i="204"/>
  <c r="I164" i="204"/>
  <c r="I163" i="204" s="1"/>
  <c r="I166" i="204"/>
  <c r="D166" i="204"/>
  <c r="E166" i="204"/>
  <c r="F166" i="204"/>
  <c r="G166" i="204"/>
  <c r="G164" i="204"/>
  <c r="G163" i="204" s="1"/>
  <c r="H166" i="204"/>
  <c r="H163" i="204" s="1"/>
  <c r="H164" i="204"/>
  <c r="F164" i="204"/>
  <c r="E164" i="204"/>
  <c r="D164" i="204"/>
  <c r="D155" i="204"/>
  <c r="E155" i="204"/>
  <c r="F155" i="204"/>
  <c r="G155" i="204"/>
  <c r="H155" i="204"/>
  <c r="I155" i="204"/>
  <c r="J155" i="204"/>
  <c r="D156" i="204"/>
  <c r="E156" i="204"/>
  <c r="F156" i="204"/>
  <c r="G156" i="204"/>
  <c r="H156" i="204"/>
  <c r="I156" i="204"/>
  <c r="I154" i="204"/>
  <c r="I157" i="204"/>
  <c r="I153" i="204" s="1"/>
  <c r="I158" i="204"/>
  <c r="I159" i="204"/>
  <c r="I160" i="204"/>
  <c r="I161" i="204"/>
  <c r="I162" i="204"/>
  <c r="D157" i="204"/>
  <c r="E157" i="204"/>
  <c r="F157" i="204"/>
  <c r="G157" i="204"/>
  <c r="H157" i="204"/>
  <c r="J157" i="204"/>
  <c r="D158" i="204"/>
  <c r="E158" i="204"/>
  <c r="F158" i="204"/>
  <c r="G158" i="204"/>
  <c r="J158" i="204" s="1"/>
  <c r="J153" i="204" s="1"/>
  <c r="H158" i="204"/>
  <c r="D159" i="204"/>
  <c r="E159" i="204"/>
  <c r="F159" i="204"/>
  <c r="G159" i="204"/>
  <c r="H159" i="204"/>
  <c r="J159" i="204"/>
  <c r="D160" i="204"/>
  <c r="E160" i="204"/>
  <c r="F160" i="204"/>
  <c r="G160" i="204"/>
  <c r="J160" i="204" s="1"/>
  <c r="H160" i="204"/>
  <c r="D161" i="204"/>
  <c r="E161" i="204"/>
  <c r="F161" i="204"/>
  <c r="G161" i="204"/>
  <c r="H161" i="204"/>
  <c r="D162" i="204"/>
  <c r="E162" i="204"/>
  <c r="F162" i="204"/>
  <c r="G162" i="204"/>
  <c r="H162" i="204"/>
  <c r="H154" i="204"/>
  <c r="G154" i="204"/>
  <c r="F154" i="204"/>
  <c r="F153" i="204"/>
  <c r="E154" i="204"/>
  <c r="D154" i="204"/>
  <c r="Z102" i="204"/>
  <c r="AA102" i="204"/>
  <c r="AA100" i="204" s="1"/>
  <c r="AA101" i="204"/>
  <c r="AA103" i="204"/>
  <c r="AB102" i="204"/>
  <c r="AC102" i="204"/>
  <c r="AD102" i="204"/>
  <c r="AE102" i="204"/>
  <c r="AE101" i="204"/>
  <c r="AE100" i="204" s="1"/>
  <c r="AE103" i="204"/>
  <c r="Z103" i="204"/>
  <c r="AB103" i="204"/>
  <c r="AC103" i="204"/>
  <c r="AD103" i="204"/>
  <c r="AD101" i="204"/>
  <c r="AC101" i="204"/>
  <c r="AB101" i="204"/>
  <c r="Z101" i="204"/>
  <c r="AF101" i="204" s="1"/>
  <c r="Z92" i="204"/>
  <c r="AA92" i="204"/>
  <c r="AB92" i="204"/>
  <c r="AC92" i="204"/>
  <c r="AD92" i="204"/>
  <c r="AE92" i="204"/>
  <c r="Z93" i="204"/>
  <c r="AA93" i="204"/>
  <c r="AB93" i="204"/>
  <c r="AC93" i="204"/>
  <c r="AD93" i="204"/>
  <c r="AE93" i="204"/>
  <c r="Z94" i="204"/>
  <c r="AA94" i="204"/>
  <c r="AB94" i="204"/>
  <c r="AC94" i="204"/>
  <c r="AD94" i="204"/>
  <c r="AE94" i="204"/>
  <c r="Z95" i="204"/>
  <c r="AA95" i="204"/>
  <c r="AB95" i="204"/>
  <c r="AC95" i="204"/>
  <c r="AD95" i="204"/>
  <c r="AE95" i="204"/>
  <c r="Z96" i="204"/>
  <c r="AA96" i="204"/>
  <c r="AB96" i="204"/>
  <c r="AC96" i="204"/>
  <c r="AD96" i="204"/>
  <c r="AE96" i="204"/>
  <c r="Z97" i="204"/>
  <c r="AA97" i="204"/>
  <c r="AB97" i="204"/>
  <c r="AC97" i="204"/>
  <c r="AD97" i="204"/>
  <c r="AE97" i="204"/>
  <c r="Z98" i="204"/>
  <c r="AA98" i="204"/>
  <c r="AB98" i="204"/>
  <c r="AC98" i="204"/>
  <c r="AD98" i="204"/>
  <c r="AE98" i="204"/>
  <c r="Z99" i="204"/>
  <c r="AA99" i="204"/>
  <c r="AB99" i="204"/>
  <c r="AC99" i="204"/>
  <c r="AD99" i="204"/>
  <c r="AE99" i="204"/>
  <c r="AE91" i="204"/>
  <c r="AD91" i="204"/>
  <c r="AC91" i="204"/>
  <c r="AB91" i="204"/>
  <c r="Z91" i="204"/>
  <c r="AF91" i="204" s="1"/>
  <c r="AA91" i="204"/>
  <c r="O102" i="204"/>
  <c r="P102" i="204"/>
  <c r="Q102" i="204"/>
  <c r="R102" i="204"/>
  <c r="S102" i="204"/>
  <c r="T102" i="204"/>
  <c r="T101" i="204"/>
  <c r="T100" i="204" s="1"/>
  <c r="T103" i="204"/>
  <c r="O103" i="204"/>
  <c r="U103" i="204" s="1"/>
  <c r="P103" i="204"/>
  <c r="Q103" i="204"/>
  <c r="R103" i="204"/>
  <c r="S103" i="204"/>
  <c r="S101" i="204"/>
  <c r="S100" i="204" s="1"/>
  <c r="R101" i="204"/>
  <c r="Q101" i="204"/>
  <c r="P101" i="204"/>
  <c r="O101" i="204"/>
  <c r="O92" i="204"/>
  <c r="U92" i="204" s="1"/>
  <c r="P92" i="204"/>
  <c r="Q92" i="204"/>
  <c r="R92" i="204"/>
  <c r="S92" i="204"/>
  <c r="T92" i="204"/>
  <c r="O93" i="204"/>
  <c r="P93" i="204"/>
  <c r="Q93" i="204"/>
  <c r="R93" i="204"/>
  <c r="S93" i="204"/>
  <c r="T93" i="204"/>
  <c r="O94" i="204"/>
  <c r="P94" i="204"/>
  <c r="Q94" i="204"/>
  <c r="R94" i="204"/>
  <c r="S94" i="204"/>
  <c r="T94" i="204"/>
  <c r="O95" i="204"/>
  <c r="P95" i="204"/>
  <c r="Q95" i="204"/>
  <c r="R95" i="204"/>
  <c r="S95" i="204"/>
  <c r="T95" i="204"/>
  <c r="O96" i="204"/>
  <c r="P96" i="204"/>
  <c r="U96" i="204" s="1"/>
  <c r="Q96" i="204"/>
  <c r="R96" i="204"/>
  <c r="S96" i="204"/>
  <c r="T96" i="204"/>
  <c r="O97" i="204"/>
  <c r="P97" i="204"/>
  <c r="Q97" i="204"/>
  <c r="R97" i="204"/>
  <c r="S97" i="204"/>
  <c r="T97" i="204"/>
  <c r="O98" i="204"/>
  <c r="P98" i="204"/>
  <c r="Q98" i="204"/>
  <c r="R98" i="204"/>
  <c r="S98" i="204"/>
  <c r="T98" i="204"/>
  <c r="U98" i="204"/>
  <c r="O99" i="204"/>
  <c r="P99" i="204"/>
  <c r="Q99" i="204"/>
  <c r="R99" i="204"/>
  <c r="S99" i="204"/>
  <c r="T99" i="204"/>
  <c r="T91" i="204"/>
  <c r="S91" i="204"/>
  <c r="R91" i="204"/>
  <c r="Q91" i="204"/>
  <c r="O91" i="204"/>
  <c r="P91" i="204"/>
  <c r="U91" i="204" s="1"/>
  <c r="D102" i="204"/>
  <c r="E102" i="204"/>
  <c r="E101" i="204"/>
  <c r="E100" i="204" s="1"/>
  <c r="E103" i="204"/>
  <c r="F102" i="204"/>
  <c r="G102" i="204"/>
  <c r="H102" i="204"/>
  <c r="I102" i="204"/>
  <c r="D103" i="204"/>
  <c r="F103" i="204"/>
  <c r="G103" i="204"/>
  <c r="H103" i="204"/>
  <c r="I103" i="204"/>
  <c r="I101" i="204"/>
  <c r="H101" i="204"/>
  <c r="G101" i="204"/>
  <c r="F101" i="204"/>
  <c r="D101" i="204"/>
  <c r="J101" i="204" s="1"/>
  <c r="D92" i="204"/>
  <c r="E92" i="204"/>
  <c r="F92" i="204"/>
  <c r="G92" i="204"/>
  <c r="H92" i="204"/>
  <c r="I92" i="204"/>
  <c r="D93" i="204"/>
  <c r="E93" i="204"/>
  <c r="F93" i="204"/>
  <c r="G93" i="204"/>
  <c r="H93" i="204"/>
  <c r="I93" i="204"/>
  <c r="D94" i="204"/>
  <c r="E94" i="204"/>
  <c r="F94" i="204"/>
  <c r="G94" i="204"/>
  <c r="H94" i="204"/>
  <c r="I94" i="204"/>
  <c r="J94" i="204"/>
  <c r="D95" i="204"/>
  <c r="E95" i="204"/>
  <c r="F95" i="204"/>
  <c r="G95" i="204"/>
  <c r="H95" i="204"/>
  <c r="I95" i="204"/>
  <c r="D96" i="204"/>
  <c r="E96" i="204"/>
  <c r="F96" i="204"/>
  <c r="G96" i="204"/>
  <c r="H96" i="204"/>
  <c r="I96" i="204"/>
  <c r="D97" i="204"/>
  <c r="E97" i="204"/>
  <c r="F97" i="204"/>
  <c r="G97" i="204"/>
  <c r="H97" i="204"/>
  <c r="I97" i="204"/>
  <c r="D98" i="204"/>
  <c r="E98" i="204"/>
  <c r="F98" i="204"/>
  <c r="G98" i="204"/>
  <c r="H98" i="204"/>
  <c r="I98" i="204"/>
  <c r="D99" i="204"/>
  <c r="E99" i="204"/>
  <c r="F99" i="204"/>
  <c r="G99" i="204"/>
  <c r="H99" i="204"/>
  <c r="I99" i="204"/>
  <c r="I91" i="204"/>
  <c r="H91" i="204"/>
  <c r="G91" i="204"/>
  <c r="F91" i="204"/>
  <c r="D91" i="204"/>
  <c r="E91" i="204"/>
  <c r="J91" i="204" s="1"/>
  <c r="Z38" i="204"/>
  <c r="AA38" i="204"/>
  <c r="AA37" i="204"/>
  <c r="AA39" i="204"/>
  <c r="AB38" i="204"/>
  <c r="AC38" i="204"/>
  <c r="AD38" i="204"/>
  <c r="AE38" i="204"/>
  <c r="AE37" i="204"/>
  <c r="AE39" i="204"/>
  <c r="Z39" i="204"/>
  <c r="AF39" i="204" s="1"/>
  <c r="AB39" i="204"/>
  <c r="AB36" i="204" s="1"/>
  <c r="AC39" i="204"/>
  <c r="AC37" i="204"/>
  <c r="AC36" i="204" s="1"/>
  <c r="AD39" i="204"/>
  <c r="AD37" i="204"/>
  <c r="AD36" i="204" s="1"/>
  <c r="G59" i="206" s="1"/>
  <c r="AB37" i="204"/>
  <c r="Z37" i="204"/>
  <c r="Z28" i="204"/>
  <c r="AA28" i="204"/>
  <c r="AA26" i="204" s="1"/>
  <c r="AB28" i="204"/>
  <c r="AC28" i="204"/>
  <c r="AD28" i="204"/>
  <c r="AE28" i="204"/>
  <c r="AE26" i="204" s="1"/>
  <c r="Z29" i="204"/>
  <c r="AA29" i="204"/>
  <c r="AB29" i="204"/>
  <c r="AC29" i="204"/>
  <c r="AD29" i="204"/>
  <c r="AE29" i="204"/>
  <c r="Z30" i="204"/>
  <c r="AA30" i="204"/>
  <c r="AB30" i="204"/>
  <c r="AC30" i="204"/>
  <c r="AD30" i="204"/>
  <c r="AE30" i="204"/>
  <c r="Z31" i="204"/>
  <c r="AA31" i="204"/>
  <c r="AB31" i="204"/>
  <c r="AF31" i="204" s="1"/>
  <c r="J11" i="206" s="1"/>
  <c r="AC31" i="204"/>
  <c r="AD31" i="204"/>
  <c r="AE31" i="204"/>
  <c r="Z32" i="204"/>
  <c r="AF32" i="204" s="1"/>
  <c r="J12" i="206" s="1"/>
  <c r="AA32" i="204"/>
  <c r="AB32" i="204"/>
  <c r="AC32" i="204"/>
  <c r="AD32" i="204"/>
  <c r="AE32" i="204"/>
  <c r="Z33" i="204"/>
  <c r="AA33" i="204"/>
  <c r="AB33" i="204"/>
  <c r="AF33" i="204" s="1"/>
  <c r="J13" i="206" s="1"/>
  <c r="AC33" i="204"/>
  <c r="AD33" i="204"/>
  <c r="AE33" i="204"/>
  <c r="Z34" i="204"/>
  <c r="AF34" i="204" s="1"/>
  <c r="J14" i="206" s="1"/>
  <c r="AA34" i="204"/>
  <c r="AB34" i="204"/>
  <c r="AC34" i="204"/>
  <c r="AD34" i="204"/>
  <c r="AE34" i="204"/>
  <c r="Z35" i="204"/>
  <c r="AA35" i="204"/>
  <c r="AB35" i="204"/>
  <c r="AF35" i="204" s="1"/>
  <c r="J15" i="206" s="1"/>
  <c r="AC35" i="204"/>
  <c r="AD35" i="204"/>
  <c r="AE35" i="204"/>
  <c r="AE27" i="204"/>
  <c r="AD27" i="204"/>
  <c r="AC27" i="204"/>
  <c r="AB27" i="204"/>
  <c r="AA27" i="204"/>
  <c r="Z27" i="204"/>
  <c r="O38" i="204"/>
  <c r="P38" i="204"/>
  <c r="Q38" i="204"/>
  <c r="R38" i="204"/>
  <c r="R36" i="204" s="1"/>
  <c r="F52" i="206" s="1"/>
  <c r="S38" i="204"/>
  <c r="T38" i="204"/>
  <c r="O39" i="204"/>
  <c r="U39" i="204" s="1"/>
  <c r="H18" i="206" s="1"/>
  <c r="P39" i="204"/>
  <c r="Q39" i="204"/>
  <c r="R39" i="204"/>
  <c r="S39" i="204"/>
  <c r="T39" i="204"/>
  <c r="T36" i="204" s="1"/>
  <c r="O28" i="204"/>
  <c r="P28" i="204"/>
  <c r="Q28" i="204"/>
  <c r="R28" i="204"/>
  <c r="R26" i="204" s="1"/>
  <c r="S28" i="204"/>
  <c r="T28" i="204"/>
  <c r="O29" i="204"/>
  <c r="P29" i="204"/>
  <c r="U29" i="204" s="1"/>
  <c r="H9" i="206" s="1"/>
  <c r="Q29" i="204"/>
  <c r="R29" i="204"/>
  <c r="S29" i="204"/>
  <c r="T29" i="204"/>
  <c r="O30" i="204"/>
  <c r="P30" i="204"/>
  <c r="Q30" i="204"/>
  <c r="R30" i="204"/>
  <c r="S30" i="204"/>
  <c r="T30" i="204"/>
  <c r="O31" i="204"/>
  <c r="P31" i="204"/>
  <c r="U31" i="204" s="1"/>
  <c r="H11" i="206" s="1"/>
  <c r="Q31" i="204"/>
  <c r="R31" i="204"/>
  <c r="S31" i="204"/>
  <c r="T31" i="204"/>
  <c r="O32" i="204"/>
  <c r="P32" i="204"/>
  <c r="Q32" i="204"/>
  <c r="U32" i="204" s="1"/>
  <c r="H12" i="206" s="1"/>
  <c r="R32" i="204"/>
  <c r="S32" i="204"/>
  <c r="T32" i="204"/>
  <c r="O33" i="204"/>
  <c r="U33" i="204" s="1"/>
  <c r="H13" i="206" s="1"/>
  <c r="P33" i="204"/>
  <c r="Q33" i="204"/>
  <c r="R33" i="204"/>
  <c r="S33" i="204"/>
  <c r="T33" i="204"/>
  <c r="O34" i="204"/>
  <c r="Q34" i="204"/>
  <c r="R34" i="204"/>
  <c r="S34" i="204"/>
  <c r="Q35" i="204"/>
  <c r="T27" i="204"/>
  <c r="S27" i="204"/>
  <c r="R27" i="204"/>
  <c r="Q27" i="204"/>
  <c r="P27" i="204"/>
  <c r="O27" i="204"/>
  <c r="D37" i="204"/>
  <c r="E37" i="204"/>
  <c r="F37" i="204"/>
  <c r="G37" i="204"/>
  <c r="H37" i="204"/>
  <c r="I37" i="204"/>
  <c r="I27" i="204"/>
  <c r="H27" i="204"/>
  <c r="G27" i="204"/>
  <c r="F27" i="204"/>
  <c r="F32" i="204"/>
  <c r="F28" i="204"/>
  <c r="F29" i="204"/>
  <c r="F30" i="204"/>
  <c r="F31" i="204"/>
  <c r="F33" i="204"/>
  <c r="E27" i="204"/>
  <c r="H38" i="204"/>
  <c r="H39" i="204"/>
  <c r="D38" i="204"/>
  <c r="E38" i="204"/>
  <c r="J38" i="204" s="1"/>
  <c r="F17" i="206" s="1"/>
  <c r="F38" i="204"/>
  <c r="G38" i="204"/>
  <c r="G36" i="204" s="1"/>
  <c r="I38" i="204"/>
  <c r="I36" i="204" s="1"/>
  <c r="H43" i="206" s="1"/>
  <c r="D39" i="204"/>
  <c r="E39" i="204"/>
  <c r="F39" i="204"/>
  <c r="J39" i="204" s="1"/>
  <c r="G39" i="204"/>
  <c r="I39" i="204"/>
  <c r="D31" i="204"/>
  <c r="B73" i="206"/>
  <c r="X276" i="204"/>
  <c r="X292" i="204" s="1"/>
  <c r="X275" i="204"/>
  <c r="X274" i="204"/>
  <c r="X272" i="204"/>
  <c r="X288" i="204" s="1"/>
  <c r="X271" i="204"/>
  <c r="X270" i="204"/>
  <c r="X269" i="204"/>
  <c r="X268" i="204"/>
  <c r="X284" i="204" s="1"/>
  <c r="X267" i="204"/>
  <c r="X283" i="204"/>
  <c r="X266" i="204"/>
  <c r="X265" i="204"/>
  <c r="X281" i="204" s="1"/>
  <c r="X264" i="204"/>
  <c r="M276" i="204"/>
  <c r="M292" i="204" s="1"/>
  <c r="M275" i="204"/>
  <c r="M291" i="204" s="1"/>
  <c r="M274" i="204"/>
  <c r="M272" i="204"/>
  <c r="M271" i="204"/>
  <c r="M287" i="204"/>
  <c r="M270" i="204"/>
  <c r="M269" i="204"/>
  <c r="M268" i="204"/>
  <c r="M267" i="204"/>
  <c r="M283" i="204" s="1"/>
  <c r="M266" i="204"/>
  <c r="M265" i="204"/>
  <c r="M264" i="204"/>
  <c r="X213" i="204"/>
  <c r="X229" i="204" s="1"/>
  <c r="X212" i="204"/>
  <c r="X211" i="204"/>
  <c r="X209" i="204"/>
  <c r="X225" i="204" s="1"/>
  <c r="X208" i="204"/>
  <c r="X224" i="204"/>
  <c r="X207" i="204"/>
  <c r="X206" i="204"/>
  <c r="X222" i="204" s="1"/>
  <c r="X205" i="204"/>
  <c r="X204" i="204"/>
  <c r="X203" i="204"/>
  <c r="X202" i="204"/>
  <c r="X218" i="204" s="1"/>
  <c r="X201" i="204"/>
  <c r="M213" i="204"/>
  <c r="M212" i="204"/>
  <c r="M211" i="204"/>
  <c r="M227" i="204" s="1"/>
  <c r="M209" i="204"/>
  <c r="M208" i="204"/>
  <c r="M224" i="204"/>
  <c r="M207" i="204"/>
  <c r="M206" i="204"/>
  <c r="M205" i="204"/>
  <c r="M204" i="204"/>
  <c r="M220" i="204"/>
  <c r="M203" i="204"/>
  <c r="M202" i="204"/>
  <c r="M201" i="204"/>
  <c r="X150" i="204"/>
  <c r="X166" i="204" s="1"/>
  <c r="X149" i="204"/>
  <c r="X148" i="204"/>
  <c r="X146" i="204"/>
  <c r="X162" i="204" s="1"/>
  <c r="X145" i="204"/>
  <c r="X161" i="204"/>
  <c r="X144" i="204"/>
  <c r="X143" i="204"/>
  <c r="X142" i="204"/>
  <c r="X141" i="204"/>
  <c r="X157" i="204" s="1"/>
  <c r="X140" i="204"/>
  <c r="X139" i="204"/>
  <c r="X138" i="204"/>
  <c r="M150" i="204"/>
  <c r="M166" i="204"/>
  <c r="M149" i="204"/>
  <c r="M148" i="204"/>
  <c r="M146" i="204"/>
  <c r="M145" i="204"/>
  <c r="M161" i="204" s="1"/>
  <c r="M144" i="204"/>
  <c r="M143" i="204"/>
  <c r="M142" i="204"/>
  <c r="M141" i="204"/>
  <c r="M157" i="204" s="1"/>
  <c r="M140" i="204"/>
  <c r="M139" i="204"/>
  <c r="M138" i="204"/>
  <c r="X87" i="204"/>
  <c r="X86" i="204"/>
  <c r="X85" i="204"/>
  <c r="X83" i="204"/>
  <c r="X82" i="204"/>
  <c r="X98" i="204"/>
  <c r="X81" i="204"/>
  <c r="X97" i="204" s="1"/>
  <c r="X80" i="204"/>
  <c r="X79" i="204"/>
  <c r="X78" i="204"/>
  <c r="X94" i="204"/>
  <c r="X77" i="204"/>
  <c r="X76" i="204"/>
  <c r="X75" i="204"/>
  <c r="M87" i="204"/>
  <c r="M103" i="204" s="1"/>
  <c r="M86" i="204"/>
  <c r="M85" i="204"/>
  <c r="M83" i="204"/>
  <c r="M82" i="204"/>
  <c r="M98" i="204"/>
  <c r="M81" i="204"/>
  <c r="M80" i="204"/>
  <c r="M79" i="204"/>
  <c r="M78" i="204"/>
  <c r="M94" i="204" s="1"/>
  <c r="M77" i="204"/>
  <c r="M76" i="204"/>
  <c r="M75" i="204"/>
  <c r="X23" i="204"/>
  <c r="X39" i="204"/>
  <c r="X22" i="204"/>
  <c r="X21" i="204"/>
  <c r="X19" i="204"/>
  <c r="X35" i="204" s="1"/>
  <c r="X18" i="204"/>
  <c r="X34" i="204" s="1"/>
  <c r="X17" i="204"/>
  <c r="X16" i="204"/>
  <c r="X32" i="204" s="1"/>
  <c r="X15" i="204"/>
  <c r="X14" i="204"/>
  <c r="X13" i="204"/>
  <c r="X12" i="204"/>
  <c r="X11" i="204"/>
  <c r="M22" i="204"/>
  <c r="M23" i="204"/>
  <c r="M21" i="204"/>
  <c r="M11" i="204"/>
  <c r="M12" i="204"/>
  <c r="M28" i="204" s="1"/>
  <c r="M13" i="204"/>
  <c r="M14" i="204"/>
  <c r="M30" i="204" s="1"/>
  <c r="M15" i="204"/>
  <c r="M31" i="204" s="1"/>
  <c r="M16" i="204"/>
  <c r="M17" i="204"/>
  <c r="M18" i="204"/>
  <c r="M34" i="204" s="1"/>
  <c r="M19" i="204"/>
  <c r="M35" i="204" s="1"/>
  <c r="G26" i="206"/>
  <c r="G27" i="206"/>
  <c r="G28" i="206"/>
  <c r="G29" i="206"/>
  <c r="G30" i="206"/>
  <c r="G31" i="206"/>
  <c r="G32" i="206"/>
  <c r="G33" i="206"/>
  <c r="G34" i="206"/>
  <c r="G35" i="206"/>
  <c r="G36" i="206"/>
  <c r="G37" i="206"/>
  <c r="G25" i="206"/>
  <c r="G23" i="206"/>
  <c r="G24" i="206"/>
  <c r="G22" i="206"/>
  <c r="E23" i="206"/>
  <c r="E24" i="206"/>
  <c r="E22" i="206"/>
  <c r="A17" i="206"/>
  <c r="A18" i="206"/>
  <c r="A16" i="206"/>
  <c r="A8" i="206"/>
  <c r="A9" i="206"/>
  <c r="A10" i="206"/>
  <c r="A11" i="206"/>
  <c r="A12" i="206"/>
  <c r="A13" i="206"/>
  <c r="A14" i="206"/>
  <c r="A15" i="206"/>
  <c r="A7" i="206"/>
  <c r="AE315" i="204"/>
  <c r="AD315" i="204"/>
  <c r="AC315" i="204"/>
  <c r="AB315" i="204"/>
  <c r="AA315" i="204"/>
  <c r="Z315" i="204"/>
  <c r="T315" i="204"/>
  <c r="S315" i="204"/>
  <c r="R315" i="204"/>
  <c r="Q315" i="204"/>
  <c r="P315" i="204"/>
  <c r="O315" i="204"/>
  <c r="I315" i="204"/>
  <c r="H315" i="204"/>
  <c r="G315" i="204"/>
  <c r="F315" i="204"/>
  <c r="E315" i="204"/>
  <c r="D315" i="204"/>
  <c r="AE314" i="204"/>
  <c r="AD314" i="204"/>
  <c r="AC314" i="204"/>
  <c r="AB314" i="204"/>
  <c r="AA314" i="204"/>
  <c r="Z314" i="204"/>
  <c r="T314" i="204"/>
  <c r="S314" i="204"/>
  <c r="R314" i="204"/>
  <c r="Q314" i="204"/>
  <c r="P314" i="204"/>
  <c r="O314" i="204"/>
  <c r="I314" i="204"/>
  <c r="H314" i="204"/>
  <c r="G314" i="204"/>
  <c r="F314" i="204"/>
  <c r="D314" i="204"/>
  <c r="E314" i="204"/>
  <c r="J314" i="204" s="1"/>
  <c r="AF313" i="204"/>
  <c r="U313" i="204"/>
  <c r="J313" i="204"/>
  <c r="AF312" i="204"/>
  <c r="U312" i="204"/>
  <c r="J312" i="204"/>
  <c r="AF311" i="204"/>
  <c r="U311" i="204"/>
  <c r="J311" i="204"/>
  <c r="AF310" i="204"/>
  <c r="U310" i="204"/>
  <c r="J310" i="204"/>
  <c r="AF309" i="204"/>
  <c r="U309" i="204"/>
  <c r="J309" i="204"/>
  <c r="AF308" i="204"/>
  <c r="U308" i="204"/>
  <c r="J308" i="204"/>
  <c r="AF307" i="204"/>
  <c r="U307" i="204"/>
  <c r="J307" i="204"/>
  <c r="AF306" i="204"/>
  <c r="U306" i="204"/>
  <c r="J306" i="204"/>
  <c r="AF305" i="204"/>
  <c r="U305" i="204"/>
  <c r="J305" i="204"/>
  <c r="AF304" i="204"/>
  <c r="U304" i="204"/>
  <c r="J304" i="204"/>
  <c r="AF303" i="204"/>
  <c r="U303" i="204"/>
  <c r="J303" i="204"/>
  <c r="AF302" i="204"/>
  <c r="U302" i="204"/>
  <c r="J302" i="204"/>
  <c r="AF301" i="204"/>
  <c r="U301" i="204"/>
  <c r="J301" i="204"/>
  <c r="AE300" i="204"/>
  <c r="AD300" i="204"/>
  <c r="AC300" i="204"/>
  <c r="AB300" i="204"/>
  <c r="AA300" i="204"/>
  <c r="Z300" i="204"/>
  <c r="T300" i="204"/>
  <c r="S300" i="204"/>
  <c r="R300" i="204"/>
  <c r="Q300" i="204"/>
  <c r="P300" i="204"/>
  <c r="O300" i="204"/>
  <c r="I300" i="204"/>
  <c r="H300" i="204"/>
  <c r="G300" i="204"/>
  <c r="F300" i="204"/>
  <c r="E300" i="204"/>
  <c r="D300" i="204"/>
  <c r="AE299" i="204"/>
  <c r="AD299" i="204"/>
  <c r="AC299" i="204"/>
  <c r="AB299" i="204"/>
  <c r="AA299" i="204"/>
  <c r="Z299" i="204"/>
  <c r="T299" i="204"/>
  <c r="S299" i="204"/>
  <c r="R299" i="204"/>
  <c r="O299" i="204"/>
  <c r="U299" i="204" s="1"/>
  <c r="P299" i="204"/>
  <c r="Q299" i="204"/>
  <c r="I299" i="204"/>
  <c r="H299" i="204"/>
  <c r="G299" i="204"/>
  <c r="F299" i="204"/>
  <c r="E299" i="204"/>
  <c r="J299" i="204" s="1"/>
  <c r="D299" i="204"/>
  <c r="AF298" i="204"/>
  <c r="U298" i="204"/>
  <c r="J298" i="204"/>
  <c r="AF297" i="204"/>
  <c r="U297" i="204"/>
  <c r="J297" i="204"/>
  <c r="AF296" i="204"/>
  <c r="U296" i="204"/>
  <c r="J296" i="204"/>
  <c r="B292" i="204"/>
  <c r="X291" i="204"/>
  <c r="U291" i="204"/>
  <c r="B291" i="204"/>
  <c r="X290" i="204"/>
  <c r="S289" i="204"/>
  <c r="M290" i="204"/>
  <c r="B290" i="204"/>
  <c r="AB289" i="204"/>
  <c r="AB294" i="204"/>
  <c r="Q289" i="204"/>
  <c r="F289" i="204"/>
  <c r="E289" i="204"/>
  <c r="P279" i="204"/>
  <c r="P294" i="204"/>
  <c r="P316" i="204" s="1"/>
  <c r="M288" i="204"/>
  <c r="J288" i="204"/>
  <c r="B288" i="204"/>
  <c r="X287" i="204"/>
  <c r="B287" i="204"/>
  <c r="X286" i="204"/>
  <c r="U286" i="204"/>
  <c r="M286" i="204"/>
  <c r="B286" i="204"/>
  <c r="X285" i="204"/>
  <c r="M285" i="204"/>
  <c r="B285" i="204"/>
  <c r="M284" i="204"/>
  <c r="B284" i="204"/>
  <c r="B283" i="204"/>
  <c r="X282" i="204"/>
  <c r="M282" i="204"/>
  <c r="B282" i="204"/>
  <c r="M281" i="204"/>
  <c r="J281" i="204"/>
  <c r="B281" i="204"/>
  <c r="X280" i="204"/>
  <c r="M280" i="204"/>
  <c r="H279" i="204"/>
  <c r="H294" i="204" s="1"/>
  <c r="B280" i="204"/>
  <c r="AE278" i="204"/>
  <c r="AE295" i="204" s="1"/>
  <c r="AD278" i="204"/>
  <c r="AD295" i="204" s="1"/>
  <c r="AC278" i="204"/>
  <c r="AC295" i="204" s="1"/>
  <c r="AB278" i="204"/>
  <c r="AB295" i="204" s="1"/>
  <c r="AA278" i="204"/>
  <c r="AA295" i="204" s="1"/>
  <c r="Z278" i="204"/>
  <c r="Z295" i="204" s="1"/>
  <c r="T278" i="204"/>
  <c r="T295" i="204" s="1"/>
  <c r="S278" i="204"/>
  <c r="S295" i="204" s="1"/>
  <c r="R278" i="204"/>
  <c r="R295" i="204" s="1"/>
  <c r="Q278" i="204"/>
  <c r="Q295" i="204" s="1"/>
  <c r="P278" i="204"/>
  <c r="P295" i="204" s="1"/>
  <c r="O278" i="204"/>
  <c r="O295" i="204" s="1"/>
  <c r="I278" i="204"/>
  <c r="I295" i="204" s="1"/>
  <c r="H278" i="204"/>
  <c r="H295" i="204" s="1"/>
  <c r="G278" i="204"/>
  <c r="G295" i="204" s="1"/>
  <c r="F278" i="204"/>
  <c r="F295" i="204" s="1"/>
  <c r="E278" i="204"/>
  <c r="E295" i="204" s="1"/>
  <c r="D278" i="204"/>
  <c r="D295" i="204" s="1"/>
  <c r="AE277" i="204"/>
  <c r="AD277" i="204"/>
  <c r="AC277" i="204"/>
  <c r="AB277" i="204"/>
  <c r="AA277" i="204"/>
  <c r="Z277" i="204"/>
  <c r="X277" i="204"/>
  <c r="T277" i="204"/>
  <c r="S277" i="204"/>
  <c r="R277" i="204"/>
  <c r="Q277" i="204"/>
  <c r="P277" i="204"/>
  <c r="O277" i="204"/>
  <c r="M277" i="204"/>
  <c r="I277" i="204"/>
  <c r="H277" i="204"/>
  <c r="G277" i="204"/>
  <c r="F277" i="204"/>
  <c r="E277" i="204"/>
  <c r="D277" i="204"/>
  <c r="B277" i="204"/>
  <c r="AF276" i="204"/>
  <c r="U276" i="204"/>
  <c r="J276" i="204"/>
  <c r="AF275" i="204"/>
  <c r="U275" i="204"/>
  <c r="J275" i="204"/>
  <c r="AF274" i="204"/>
  <c r="U274" i="204"/>
  <c r="J274" i="204"/>
  <c r="AF272" i="204"/>
  <c r="U272" i="204"/>
  <c r="J272" i="204"/>
  <c r="AF271" i="204"/>
  <c r="U271" i="204"/>
  <c r="J271" i="204"/>
  <c r="AF270" i="204"/>
  <c r="U270" i="204"/>
  <c r="J270" i="204"/>
  <c r="AF269" i="204"/>
  <c r="U269" i="204"/>
  <c r="J269" i="204"/>
  <c r="AF268" i="204"/>
  <c r="U268" i="204"/>
  <c r="J268" i="204"/>
  <c r="AF267" i="204"/>
  <c r="U267" i="204"/>
  <c r="J267" i="204"/>
  <c r="AF266" i="204"/>
  <c r="U266" i="204"/>
  <c r="J266" i="204"/>
  <c r="AF265" i="204"/>
  <c r="U265" i="204"/>
  <c r="J265" i="204"/>
  <c r="AF264" i="204"/>
  <c r="U264" i="204"/>
  <c r="J264" i="204"/>
  <c r="AE252" i="204"/>
  <c r="AD252" i="204"/>
  <c r="AC252" i="204"/>
  <c r="AB252" i="204"/>
  <c r="AA252" i="204"/>
  <c r="Z252" i="204"/>
  <c r="T252" i="204"/>
  <c r="S252" i="204"/>
  <c r="R252" i="204"/>
  <c r="Q252" i="204"/>
  <c r="P252" i="204"/>
  <c r="O252" i="204"/>
  <c r="I252" i="204"/>
  <c r="H252" i="204"/>
  <c r="G252" i="204"/>
  <c r="F252" i="204"/>
  <c r="E252" i="204"/>
  <c r="D252" i="204"/>
  <c r="AE251" i="204"/>
  <c r="AD251" i="204"/>
  <c r="AC251" i="204"/>
  <c r="AB251" i="204"/>
  <c r="AA251" i="204"/>
  <c r="Z251" i="204"/>
  <c r="T251" i="204"/>
  <c r="S251" i="204"/>
  <c r="R251" i="204"/>
  <c r="Q251" i="204"/>
  <c r="P251" i="204"/>
  <c r="O251" i="204"/>
  <c r="I251" i="204"/>
  <c r="H251" i="204"/>
  <c r="G251" i="204"/>
  <c r="F251" i="204"/>
  <c r="E251" i="204"/>
  <c r="D251" i="204"/>
  <c r="AF250" i="204"/>
  <c r="U250" i="204"/>
  <c r="J250" i="204"/>
  <c r="AF249" i="204"/>
  <c r="U249" i="204"/>
  <c r="J249" i="204"/>
  <c r="AF248" i="204"/>
  <c r="U248" i="204"/>
  <c r="J248" i="204"/>
  <c r="AF247" i="204"/>
  <c r="U247" i="204"/>
  <c r="J247" i="204"/>
  <c r="AF246" i="204"/>
  <c r="U246" i="204"/>
  <c r="J246" i="204"/>
  <c r="AF245" i="204"/>
  <c r="U245" i="204"/>
  <c r="J245" i="204"/>
  <c r="AF244" i="204"/>
  <c r="U244" i="204"/>
  <c r="J244" i="204"/>
  <c r="AF243" i="204"/>
  <c r="U243" i="204"/>
  <c r="J243" i="204"/>
  <c r="AF242" i="204"/>
  <c r="U242" i="204"/>
  <c r="J242" i="204"/>
  <c r="AF241" i="204"/>
  <c r="U241" i="204"/>
  <c r="J241" i="204"/>
  <c r="AF240" i="204"/>
  <c r="U240" i="204"/>
  <c r="J240" i="204"/>
  <c r="AF239" i="204"/>
  <c r="U239" i="204"/>
  <c r="J239" i="204"/>
  <c r="AF238" i="204"/>
  <c r="U238" i="204"/>
  <c r="J238" i="204"/>
  <c r="AE237" i="204"/>
  <c r="AD237" i="204"/>
  <c r="AC237" i="204"/>
  <c r="AB237" i="204"/>
  <c r="AA237" i="204"/>
  <c r="Z237" i="204"/>
  <c r="T237" i="204"/>
  <c r="S237" i="204"/>
  <c r="R237" i="204"/>
  <c r="Q237" i="204"/>
  <c r="P237" i="204"/>
  <c r="O237" i="204"/>
  <c r="I237" i="204"/>
  <c r="H237" i="204"/>
  <c r="G237" i="204"/>
  <c r="F237" i="204"/>
  <c r="E237" i="204"/>
  <c r="D237" i="204"/>
  <c r="AE236" i="204"/>
  <c r="AD236" i="204"/>
  <c r="AC236" i="204"/>
  <c r="AB236" i="204"/>
  <c r="AA236" i="204"/>
  <c r="Z236" i="204"/>
  <c r="T236" i="204"/>
  <c r="S236" i="204"/>
  <c r="R236" i="204"/>
  <c r="Q236" i="204"/>
  <c r="P236" i="204"/>
  <c r="O236" i="204"/>
  <c r="I236" i="204"/>
  <c r="H236" i="204"/>
  <c r="G236" i="204"/>
  <c r="F236" i="204"/>
  <c r="E236" i="204"/>
  <c r="D236" i="204"/>
  <c r="AF235" i="204"/>
  <c r="U235" i="204"/>
  <c r="J235" i="204"/>
  <c r="AF234" i="204"/>
  <c r="U234" i="204"/>
  <c r="J234" i="204"/>
  <c r="AF233" i="204"/>
  <c r="U233" i="204"/>
  <c r="J233" i="204"/>
  <c r="M229" i="204"/>
  <c r="B229" i="204"/>
  <c r="X228" i="204"/>
  <c r="M228" i="204"/>
  <c r="B228" i="204"/>
  <c r="X227" i="204"/>
  <c r="U227" i="204"/>
  <c r="E226" i="204"/>
  <c r="B227" i="204"/>
  <c r="AD226" i="204"/>
  <c r="AB226" i="204"/>
  <c r="Z226" i="204"/>
  <c r="Q226" i="204"/>
  <c r="P226" i="204"/>
  <c r="F226" i="204"/>
  <c r="M225" i="204"/>
  <c r="B225" i="204"/>
  <c r="B224" i="204"/>
  <c r="X223" i="204"/>
  <c r="M223" i="204"/>
  <c r="B223" i="204"/>
  <c r="M222" i="204"/>
  <c r="B222" i="204"/>
  <c r="X221" i="204"/>
  <c r="M221" i="204"/>
  <c r="B221" i="204"/>
  <c r="X220" i="204"/>
  <c r="B220" i="204"/>
  <c r="X219" i="204"/>
  <c r="M219" i="204"/>
  <c r="B219" i="204"/>
  <c r="M218" i="204"/>
  <c r="B218" i="204"/>
  <c r="X217" i="204"/>
  <c r="M217" i="204"/>
  <c r="B217" i="204"/>
  <c r="AE215" i="204"/>
  <c r="AE232" i="204"/>
  <c r="AD215" i="204"/>
  <c r="AD232" i="204"/>
  <c r="AC215" i="204"/>
  <c r="AC232" i="204" s="1"/>
  <c r="AB215" i="204"/>
  <c r="AB232" i="204"/>
  <c r="AA215" i="204"/>
  <c r="AA232" i="204" s="1"/>
  <c r="Z215" i="204"/>
  <c r="Z232" i="204"/>
  <c r="T215" i="204"/>
  <c r="T232" i="204" s="1"/>
  <c r="S215" i="204"/>
  <c r="S232" i="204"/>
  <c r="R215" i="204"/>
  <c r="R232" i="204" s="1"/>
  <c r="Q215" i="204"/>
  <c r="Q232" i="204"/>
  <c r="P215" i="204"/>
  <c r="P232" i="204" s="1"/>
  <c r="O215" i="204"/>
  <c r="O232" i="204"/>
  <c r="I215" i="204"/>
  <c r="I232" i="204" s="1"/>
  <c r="H215" i="204"/>
  <c r="H232" i="204"/>
  <c r="G215" i="204"/>
  <c r="G232" i="204" s="1"/>
  <c r="F215" i="204"/>
  <c r="F232" i="204"/>
  <c r="E215" i="204"/>
  <c r="E232" i="204" s="1"/>
  <c r="D215" i="204"/>
  <c r="D232" i="204"/>
  <c r="AE214" i="204"/>
  <c r="AD214" i="204"/>
  <c r="AC214" i="204"/>
  <c r="AB214" i="204"/>
  <c r="Z214" i="204"/>
  <c r="AF214" i="204" s="1"/>
  <c r="AA214" i="204"/>
  <c r="X214" i="204"/>
  <c r="T214" i="204"/>
  <c r="S214" i="204"/>
  <c r="R214" i="204"/>
  <c r="Q214" i="204"/>
  <c r="O214" i="204"/>
  <c r="U214" i="204" s="1"/>
  <c r="P214" i="204"/>
  <c r="M214" i="204"/>
  <c r="I214" i="204"/>
  <c r="H214" i="204"/>
  <c r="G214" i="204"/>
  <c r="F214" i="204"/>
  <c r="E214" i="204"/>
  <c r="D214" i="204"/>
  <c r="J214" i="204" s="1"/>
  <c r="B214" i="204"/>
  <c r="AF213" i="204"/>
  <c r="U213" i="204"/>
  <c r="U210" i="204" s="1"/>
  <c r="U211" i="204"/>
  <c r="U212" i="204"/>
  <c r="J213" i="204"/>
  <c r="AF212" i="204"/>
  <c r="J212" i="204"/>
  <c r="J211" i="204"/>
  <c r="J210" i="204"/>
  <c r="AF211" i="204"/>
  <c r="AF209" i="204"/>
  <c r="U209" i="204"/>
  <c r="J209" i="204"/>
  <c r="AF208" i="204"/>
  <c r="U208" i="204"/>
  <c r="J208" i="204"/>
  <c r="AF207" i="204"/>
  <c r="U207" i="204"/>
  <c r="J207" i="204"/>
  <c r="AF206" i="204"/>
  <c r="U206" i="204"/>
  <c r="J206" i="204"/>
  <c r="AF205" i="204"/>
  <c r="U205" i="204"/>
  <c r="J205" i="204"/>
  <c r="AF204" i="204"/>
  <c r="U204" i="204"/>
  <c r="U201" i="204"/>
  <c r="U202" i="204"/>
  <c r="U203" i="204"/>
  <c r="J204" i="204"/>
  <c r="AF203" i="204"/>
  <c r="J203" i="204"/>
  <c r="J201" i="204"/>
  <c r="J202" i="204"/>
  <c r="J200" i="204" s="1"/>
  <c r="AF202" i="204"/>
  <c r="AF201" i="204"/>
  <c r="AE189" i="204"/>
  <c r="AD189" i="204"/>
  <c r="AC189" i="204"/>
  <c r="AB189" i="204"/>
  <c r="AA189" i="204"/>
  <c r="Z189" i="204"/>
  <c r="T189" i="204"/>
  <c r="S189" i="204"/>
  <c r="R189" i="204"/>
  <c r="Q189" i="204"/>
  <c r="P189" i="204"/>
  <c r="O189" i="204"/>
  <c r="I189" i="204"/>
  <c r="H189" i="204"/>
  <c r="G189" i="204"/>
  <c r="F189" i="204"/>
  <c r="E189" i="204"/>
  <c r="D189" i="204"/>
  <c r="AE188" i="204"/>
  <c r="AD188" i="204"/>
  <c r="AC188" i="204"/>
  <c r="AB188" i="204"/>
  <c r="Z188" i="204"/>
  <c r="AA188" i="204"/>
  <c r="AF188" i="204"/>
  <c r="T188" i="204"/>
  <c r="S188" i="204"/>
  <c r="R188" i="204"/>
  <c r="Q188" i="204"/>
  <c r="P188" i="204"/>
  <c r="O188" i="204"/>
  <c r="I188" i="204"/>
  <c r="H188" i="204"/>
  <c r="G188" i="204"/>
  <c r="D188" i="204"/>
  <c r="E188" i="204"/>
  <c r="F188" i="204"/>
  <c r="J188" i="204" s="1"/>
  <c r="AF187" i="204"/>
  <c r="U187" i="204"/>
  <c r="J187" i="204"/>
  <c r="AF186" i="204"/>
  <c r="U186" i="204"/>
  <c r="J186" i="204"/>
  <c r="AF185" i="204"/>
  <c r="U185" i="204"/>
  <c r="J185" i="204"/>
  <c r="AF184" i="204"/>
  <c r="U184" i="204"/>
  <c r="J184" i="204"/>
  <c r="AF183" i="204"/>
  <c r="U183" i="204"/>
  <c r="J183" i="204"/>
  <c r="AF182" i="204"/>
  <c r="U182" i="204"/>
  <c r="J182" i="204"/>
  <c r="AF181" i="204"/>
  <c r="U181" i="204"/>
  <c r="J181" i="204"/>
  <c r="AF180" i="204"/>
  <c r="U180" i="204"/>
  <c r="J180" i="204"/>
  <c r="AF179" i="204"/>
  <c r="U179" i="204"/>
  <c r="J179" i="204"/>
  <c r="AF178" i="204"/>
  <c r="U178" i="204"/>
  <c r="J178" i="204"/>
  <c r="AF177" i="204"/>
  <c r="U177" i="204"/>
  <c r="J177" i="204"/>
  <c r="AF176" i="204"/>
  <c r="U176" i="204"/>
  <c r="J176" i="204"/>
  <c r="AF175" i="204"/>
  <c r="U175" i="204"/>
  <c r="J175" i="204"/>
  <c r="AE174" i="204"/>
  <c r="AD174" i="204"/>
  <c r="AC174" i="204"/>
  <c r="AB174" i="204"/>
  <c r="AA174" i="204"/>
  <c r="Z174" i="204"/>
  <c r="T174" i="204"/>
  <c r="S174" i="204"/>
  <c r="R174" i="204"/>
  <c r="Q174" i="204"/>
  <c r="P174" i="204"/>
  <c r="O174" i="204"/>
  <c r="I174" i="204"/>
  <c r="H174" i="204"/>
  <c r="G174" i="204"/>
  <c r="F174" i="204"/>
  <c r="E174" i="204"/>
  <c r="D174" i="204"/>
  <c r="AE173" i="204"/>
  <c r="AD173" i="204"/>
  <c r="AC173" i="204"/>
  <c r="AB173" i="204"/>
  <c r="AB46" i="204"/>
  <c r="AB110" i="204"/>
  <c r="E94" i="206" s="1"/>
  <c r="AA173" i="204"/>
  <c r="Z173" i="204"/>
  <c r="T173" i="204"/>
  <c r="S173" i="204"/>
  <c r="R173" i="204"/>
  <c r="Q173" i="204"/>
  <c r="P173" i="204"/>
  <c r="O173" i="204"/>
  <c r="I173" i="204"/>
  <c r="H173" i="204"/>
  <c r="G78" i="206" s="1"/>
  <c r="G173" i="204"/>
  <c r="F173" i="204"/>
  <c r="D173" i="204"/>
  <c r="E173" i="204"/>
  <c r="AF172" i="204"/>
  <c r="U172" i="204"/>
  <c r="J172" i="204"/>
  <c r="AF171" i="204"/>
  <c r="U171" i="204"/>
  <c r="J171" i="204"/>
  <c r="AF170" i="204"/>
  <c r="U170" i="204"/>
  <c r="J170" i="204"/>
  <c r="AF166" i="204"/>
  <c r="J166" i="204"/>
  <c r="B166" i="204"/>
  <c r="X165" i="204"/>
  <c r="U165" i="204"/>
  <c r="M165" i="204"/>
  <c r="B165" i="204"/>
  <c r="X164" i="204"/>
  <c r="Q163" i="204"/>
  <c r="M164" i="204"/>
  <c r="F163" i="204"/>
  <c r="B164" i="204"/>
  <c r="AB163" i="204"/>
  <c r="S163" i="204"/>
  <c r="S153" i="204"/>
  <c r="M162" i="204"/>
  <c r="B162" i="204"/>
  <c r="B161" i="204"/>
  <c r="X160" i="204"/>
  <c r="M160" i="204"/>
  <c r="B160" i="204"/>
  <c r="X159" i="204"/>
  <c r="M159" i="204"/>
  <c r="B159" i="204"/>
  <c r="X158" i="204"/>
  <c r="M158" i="204"/>
  <c r="B158" i="204"/>
  <c r="B157" i="204"/>
  <c r="AF156" i="204"/>
  <c r="X156" i="204"/>
  <c r="M156" i="204"/>
  <c r="J156" i="204"/>
  <c r="B156" i="204"/>
  <c r="X155" i="204"/>
  <c r="U155" i="204"/>
  <c r="M155" i="204"/>
  <c r="B155" i="204"/>
  <c r="X154" i="204"/>
  <c r="M154" i="204"/>
  <c r="J154" i="204"/>
  <c r="B154" i="204"/>
  <c r="AE152" i="204"/>
  <c r="AE169" i="204" s="1"/>
  <c r="AD152" i="204"/>
  <c r="AD169" i="204"/>
  <c r="AC152" i="204"/>
  <c r="AC169" i="204" s="1"/>
  <c r="AB152" i="204"/>
  <c r="AB169" i="204"/>
  <c r="AA152" i="204"/>
  <c r="AA169" i="204" s="1"/>
  <c r="Z152" i="204"/>
  <c r="Z169" i="204"/>
  <c r="T152" i="204"/>
  <c r="T169" i="204" s="1"/>
  <c r="S152" i="204"/>
  <c r="S169" i="204"/>
  <c r="R152" i="204"/>
  <c r="R169" i="204" s="1"/>
  <c r="Q152" i="204"/>
  <c r="Q169" i="204"/>
  <c r="P152" i="204"/>
  <c r="P169" i="204" s="1"/>
  <c r="O152" i="204"/>
  <c r="O169" i="204"/>
  <c r="I152" i="204"/>
  <c r="I169" i="204" s="1"/>
  <c r="H152" i="204"/>
  <c r="H169" i="204"/>
  <c r="G152" i="204"/>
  <c r="G169" i="204" s="1"/>
  <c r="F152" i="204"/>
  <c r="F169" i="204"/>
  <c r="E152" i="204"/>
  <c r="E169" i="204" s="1"/>
  <c r="D152" i="204"/>
  <c r="D169" i="204"/>
  <c r="AE151" i="204"/>
  <c r="AD151" i="204"/>
  <c r="AC151" i="204"/>
  <c r="AB151" i="204"/>
  <c r="AA151" i="204"/>
  <c r="Z151" i="204"/>
  <c r="X151" i="204"/>
  <c r="T151" i="204"/>
  <c r="S151" i="204"/>
  <c r="R151" i="204"/>
  <c r="Q151" i="204"/>
  <c r="P151" i="204"/>
  <c r="U151" i="204" s="1"/>
  <c r="O151" i="204"/>
  <c r="M151" i="204"/>
  <c r="I151" i="204"/>
  <c r="H151" i="204"/>
  <c r="G151" i="204"/>
  <c r="F151" i="204"/>
  <c r="E151" i="204"/>
  <c r="D151" i="204"/>
  <c r="J151" i="204" s="1"/>
  <c r="B151" i="204"/>
  <c r="AF150" i="204"/>
  <c r="U150" i="204"/>
  <c r="U147" i="204" s="1"/>
  <c r="J150" i="204"/>
  <c r="AF149" i="204"/>
  <c r="U149" i="204"/>
  <c r="J149" i="204"/>
  <c r="J148" i="204"/>
  <c r="AF148" i="204"/>
  <c r="U148" i="204"/>
  <c r="AF146" i="204"/>
  <c r="U146" i="204"/>
  <c r="J146" i="204"/>
  <c r="AF145" i="204"/>
  <c r="U145" i="204"/>
  <c r="J145" i="204"/>
  <c r="AF144" i="204"/>
  <c r="U144" i="204"/>
  <c r="J144" i="204"/>
  <c r="AF143" i="204"/>
  <c r="U143" i="204"/>
  <c r="J143" i="204"/>
  <c r="AF142" i="204"/>
  <c r="U142" i="204"/>
  <c r="J142" i="204"/>
  <c r="AF141" i="204"/>
  <c r="U141" i="204"/>
  <c r="U137" i="204" s="1"/>
  <c r="J141" i="204"/>
  <c r="AF140" i="204"/>
  <c r="U140" i="204"/>
  <c r="J140" i="204"/>
  <c r="J137" i="204" s="1"/>
  <c r="AF139" i="204"/>
  <c r="U139" i="204"/>
  <c r="J139" i="204"/>
  <c r="AF138" i="204"/>
  <c r="AF137" i="204" s="1"/>
  <c r="U138" i="204"/>
  <c r="J138" i="204"/>
  <c r="AE126" i="204"/>
  <c r="AD126" i="204"/>
  <c r="AC126" i="204"/>
  <c r="AB126" i="204"/>
  <c r="AA126" i="204"/>
  <c r="Z126" i="204"/>
  <c r="T126" i="204"/>
  <c r="S126" i="204"/>
  <c r="R126" i="204"/>
  <c r="Q126" i="204"/>
  <c r="P126" i="204"/>
  <c r="O126" i="204"/>
  <c r="I126" i="204"/>
  <c r="H126" i="204"/>
  <c r="G126" i="204"/>
  <c r="F126" i="204"/>
  <c r="E126" i="204"/>
  <c r="D126" i="204"/>
  <c r="AE125" i="204"/>
  <c r="AD125" i="204"/>
  <c r="AC125" i="204"/>
  <c r="AB125" i="204"/>
  <c r="AF125" i="204" s="1"/>
  <c r="AA125" i="204"/>
  <c r="Z125" i="204"/>
  <c r="T125" i="204"/>
  <c r="S125" i="204"/>
  <c r="S127" i="204" s="1"/>
  <c r="R125" i="204"/>
  <c r="Q125" i="204"/>
  <c r="P125" i="204"/>
  <c r="O125" i="204"/>
  <c r="I125" i="204"/>
  <c r="H125" i="204"/>
  <c r="G125" i="204"/>
  <c r="F125" i="204"/>
  <c r="J125" i="204" s="1"/>
  <c r="E125" i="204"/>
  <c r="D125" i="204"/>
  <c r="AF124" i="204"/>
  <c r="U124" i="204"/>
  <c r="J124" i="204"/>
  <c r="AF123" i="204"/>
  <c r="U123" i="204"/>
  <c r="J123" i="204"/>
  <c r="AF122" i="204"/>
  <c r="U122" i="204"/>
  <c r="J122" i="204"/>
  <c r="AF121" i="204"/>
  <c r="U121" i="204"/>
  <c r="J121" i="204"/>
  <c r="AF120" i="204"/>
  <c r="U120" i="204"/>
  <c r="J120" i="204"/>
  <c r="AF119" i="204"/>
  <c r="U119" i="204"/>
  <c r="J119" i="204"/>
  <c r="AF118" i="204"/>
  <c r="U118" i="204"/>
  <c r="J118" i="204"/>
  <c r="AF117" i="204"/>
  <c r="U117" i="204"/>
  <c r="J117" i="204"/>
  <c r="AF116" i="204"/>
  <c r="U116" i="204"/>
  <c r="J116" i="204"/>
  <c r="AF115" i="204"/>
  <c r="U115" i="204"/>
  <c r="J115" i="204"/>
  <c r="AF114" i="204"/>
  <c r="U114" i="204"/>
  <c r="J114" i="204"/>
  <c r="AF113" i="204"/>
  <c r="U113" i="204"/>
  <c r="J113" i="204"/>
  <c r="AF112" i="204"/>
  <c r="U112" i="204"/>
  <c r="J112" i="204"/>
  <c r="AE111" i="204"/>
  <c r="AD111" i="204"/>
  <c r="AC111" i="204"/>
  <c r="AB111" i="204"/>
  <c r="AA111" i="204"/>
  <c r="Z111" i="204"/>
  <c r="T111" i="204"/>
  <c r="S111" i="204"/>
  <c r="R111" i="204"/>
  <c r="Q111" i="204"/>
  <c r="P111" i="204"/>
  <c r="O111" i="204"/>
  <c r="I111" i="204"/>
  <c r="H111" i="204"/>
  <c r="G111" i="204"/>
  <c r="F111" i="204"/>
  <c r="E111" i="204"/>
  <c r="D111" i="204"/>
  <c r="AE110" i="204"/>
  <c r="H94" i="206" s="1"/>
  <c r="AD110" i="204"/>
  <c r="AC110" i="204"/>
  <c r="AA110" i="204"/>
  <c r="Z110" i="204"/>
  <c r="T110" i="204"/>
  <c r="S110" i="204"/>
  <c r="R110" i="204"/>
  <c r="Q110" i="204"/>
  <c r="P110" i="204"/>
  <c r="O110" i="204"/>
  <c r="I110" i="204"/>
  <c r="H110" i="204"/>
  <c r="G110" i="204"/>
  <c r="F110" i="204"/>
  <c r="E110" i="204"/>
  <c r="D110" i="204"/>
  <c r="AF109" i="204"/>
  <c r="U109" i="204"/>
  <c r="J109" i="204"/>
  <c r="AF108" i="204"/>
  <c r="U108" i="204"/>
  <c r="J108" i="204"/>
  <c r="AF107" i="204"/>
  <c r="U107" i="204"/>
  <c r="J107" i="204"/>
  <c r="X103" i="204"/>
  <c r="AF102" i="204"/>
  <c r="X102" i="204"/>
  <c r="M102" i="204"/>
  <c r="J102" i="204"/>
  <c r="X101" i="204"/>
  <c r="R100" i="204"/>
  <c r="M101" i="204"/>
  <c r="H100" i="204"/>
  <c r="H90" i="204"/>
  <c r="H105" i="204" s="1"/>
  <c r="H127" i="204"/>
  <c r="H128" i="204" s="1"/>
  <c r="AD100" i="204"/>
  <c r="AB100" i="204"/>
  <c r="Q100" i="204"/>
  <c r="I100" i="204"/>
  <c r="I90" i="204"/>
  <c r="F100" i="204"/>
  <c r="X99" i="204"/>
  <c r="M99" i="204"/>
  <c r="M97" i="204"/>
  <c r="X96" i="204"/>
  <c r="M96" i="204"/>
  <c r="X95" i="204"/>
  <c r="M95" i="204"/>
  <c r="X93" i="204"/>
  <c r="M93" i="204"/>
  <c r="AF92" i="204"/>
  <c r="X92" i="204"/>
  <c r="M92" i="204"/>
  <c r="J92" i="204"/>
  <c r="X91" i="204"/>
  <c r="M91" i="204"/>
  <c r="AE89" i="204"/>
  <c r="AE106" i="204"/>
  <c r="AD89" i="204"/>
  <c r="AD106" i="204"/>
  <c r="AC89" i="204"/>
  <c r="AC106" i="204"/>
  <c r="AB89" i="204"/>
  <c r="AB106" i="204"/>
  <c r="AA89" i="204"/>
  <c r="AA106" i="204"/>
  <c r="Z89" i="204"/>
  <c r="Z106" i="204"/>
  <c r="T89" i="204"/>
  <c r="T106" i="204"/>
  <c r="S89" i="204"/>
  <c r="S106" i="204"/>
  <c r="R89" i="204"/>
  <c r="R106" i="204"/>
  <c r="Q89" i="204"/>
  <c r="Q106" i="204"/>
  <c r="P89" i="204"/>
  <c r="P106" i="204"/>
  <c r="O89" i="204"/>
  <c r="O106" i="204"/>
  <c r="I89" i="204"/>
  <c r="I106" i="204"/>
  <c r="H89" i="204"/>
  <c r="H106" i="204"/>
  <c r="G89" i="204"/>
  <c r="G106" i="204"/>
  <c r="F89" i="204"/>
  <c r="F106" i="204"/>
  <c r="E89" i="204"/>
  <c r="E106" i="204"/>
  <c r="D89" i="204"/>
  <c r="D106" i="204"/>
  <c r="AE88" i="204"/>
  <c r="AD88" i="204"/>
  <c r="AC88" i="204"/>
  <c r="Z88" i="204"/>
  <c r="AA88" i="204"/>
  <c r="AB88" i="204"/>
  <c r="X88" i="204"/>
  <c r="T88" i="204"/>
  <c r="S88" i="204"/>
  <c r="R88" i="204"/>
  <c r="Q88" i="204"/>
  <c r="O88" i="204"/>
  <c r="P88" i="204"/>
  <c r="M88" i="204"/>
  <c r="I88" i="204"/>
  <c r="H88" i="204"/>
  <c r="G88" i="204"/>
  <c r="F88" i="204"/>
  <c r="E88" i="204"/>
  <c r="D88" i="204"/>
  <c r="B88" i="204"/>
  <c r="AF87" i="204"/>
  <c r="AF84" i="204" s="1"/>
  <c r="U87" i="204"/>
  <c r="U85" i="204"/>
  <c r="U86" i="204"/>
  <c r="U84" i="204"/>
  <c r="J87" i="204"/>
  <c r="AF86" i="204"/>
  <c r="J86" i="204"/>
  <c r="J85" i="204"/>
  <c r="J84" i="204" s="1"/>
  <c r="AF85" i="204"/>
  <c r="AF83" i="204"/>
  <c r="U83" i="204"/>
  <c r="J83" i="204"/>
  <c r="AF82" i="204"/>
  <c r="U82" i="204"/>
  <c r="J82" i="204"/>
  <c r="AF81" i="204"/>
  <c r="U81" i="204"/>
  <c r="J81" i="204"/>
  <c r="AF80" i="204"/>
  <c r="U80" i="204"/>
  <c r="J80" i="204"/>
  <c r="AF79" i="204"/>
  <c r="U79" i="204"/>
  <c r="J79" i="204"/>
  <c r="AF78" i="204"/>
  <c r="U78" i="204"/>
  <c r="U75" i="204"/>
  <c r="U74" i="204" s="1"/>
  <c r="U76" i="204"/>
  <c r="U77" i="204"/>
  <c r="J78" i="204"/>
  <c r="AF77" i="204"/>
  <c r="J77" i="204"/>
  <c r="AF76" i="204"/>
  <c r="J76" i="204"/>
  <c r="J74" i="204" s="1"/>
  <c r="AF75" i="204"/>
  <c r="J75" i="204"/>
  <c r="AE63" i="204"/>
  <c r="AD63" i="204"/>
  <c r="AC63" i="204"/>
  <c r="AB63" i="204"/>
  <c r="AA63" i="204"/>
  <c r="Z63" i="204"/>
  <c r="AE62" i="204"/>
  <c r="AD62" i="204"/>
  <c r="AC62" i="204"/>
  <c r="AB62" i="204"/>
  <c r="AA62" i="204"/>
  <c r="Z62" i="204"/>
  <c r="AF61" i="204"/>
  <c r="E37" i="206"/>
  <c r="AF60" i="204"/>
  <c r="E36" i="206" s="1"/>
  <c r="AF59" i="204"/>
  <c r="E35" i="206"/>
  <c r="AF58" i="204"/>
  <c r="E34" i="206" s="1"/>
  <c r="AF57" i="204"/>
  <c r="E33" i="206"/>
  <c r="AF56" i="204"/>
  <c r="E32" i="206" s="1"/>
  <c r="AF55" i="204"/>
  <c r="E31" i="206"/>
  <c r="AF54" i="204"/>
  <c r="E30" i="206" s="1"/>
  <c r="AF53" i="204"/>
  <c r="E29" i="206"/>
  <c r="AF52" i="204"/>
  <c r="E28" i="206" s="1"/>
  <c r="AF50" i="204"/>
  <c r="E27" i="206"/>
  <c r="AF49" i="204"/>
  <c r="E26" i="206" s="1"/>
  <c r="AF48" i="204"/>
  <c r="E25" i="206"/>
  <c r="AE47" i="204"/>
  <c r="AD47" i="204"/>
  <c r="AC47" i="204"/>
  <c r="AB47" i="204"/>
  <c r="AA47" i="204"/>
  <c r="Z47" i="204"/>
  <c r="AE46" i="204"/>
  <c r="AD46" i="204"/>
  <c r="AF46" i="204" s="1"/>
  <c r="AC46" i="204"/>
  <c r="AA46" i="204"/>
  <c r="Z46" i="204"/>
  <c r="AF45" i="204"/>
  <c r="AF44" i="204"/>
  <c r="AF43" i="204"/>
  <c r="X38" i="204"/>
  <c r="X37" i="204"/>
  <c r="X33" i="204"/>
  <c r="X31" i="204"/>
  <c r="X30" i="204"/>
  <c r="X29" i="204"/>
  <c r="X28" i="204"/>
  <c r="X27" i="204"/>
  <c r="AE25" i="204"/>
  <c r="AE42" i="204" s="1"/>
  <c r="AD25" i="204"/>
  <c r="AD42" i="204" s="1"/>
  <c r="AC25" i="204"/>
  <c r="AC42" i="204" s="1"/>
  <c r="AB25" i="204"/>
  <c r="AB42" i="204"/>
  <c r="AA25" i="204"/>
  <c r="AA42" i="204" s="1"/>
  <c r="Z25" i="204"/>
  <c r="Z42" i="204"/>
  <c r="AE24" i="204"/>
  <c r="AD24" i="204"/>
  <c r="AC24" i="204"/>
  <c r="AB24" i="204"/>
  <c r="AA24" i="204"/>
  <c r="Z24" i="204"/>
  <c r="X24" i="204"/>
  <c r="AF23" i="204"/>
  <c r="I18" i="206"/>
  <c r="AF22" i="204"/>
  <c r="I17" i="206" s="1"/>
  <c r="AF21" i="204"/>
  <c r="I16" i="206" s="1"/>
  <c r="AF19" i="204"/>
  <c r="I15" i="206" s="1"/>
  <c r="AF18" i="204"/>
  <c r="I14" i="206" s="1"/>
  <c r="AF17" i="204"/>
  <c r="I13" i="206" s="1"/>
  <c r="AF16" i="204"/>
  <c r="I12" i="206" s="1"/>
  <c r="AF15" i="204"/>
  <c r="I11" i="206" s="1"/>
  <c r="AF14" i="204"/>
  <c r="I10" i="206" s="1"/>
  <c r="AF13" i="204"/>
  <c r="I9" i="206" s="1"/>
  <c r="AF12" i="204"/>
  <c r="I8" i="206" s="1"/>
  <c r="AF11" i="204"/>
  <c r="I7" i="206" s="1"/>
  <c r="T63" i="204"/>
  <c r="S63" i="204"/>
  <c r="R63" i="204"/>
  <c r="Q63" i="204"/>
  <c r="P63" i="204"/>
  <c r="O63" i="204"/>
  <c r="T62" i="204"/>
  <c r="S62" i="204"/>
  <c r="G54" i="206" s="1"/>
  <c r="R62" i="204"/>
  <c r="F54" i="206" s="1"/>
  <c r="Q62" i="204"/>
  <c r="P62" i="204"/>
  <c r="O62" i="204"/>
  <c r="U61" i="204"/>
  <c r="F37" i="206" s="1"/>
  <c r="D37" i="206"/>
  <c r="U60" i="204"/>
  <c r="D36" i="206" s="1"/>
  <c r="U59" i="204"/>
  <c r="U58" i="204"/>
  <c r="D34" i="206" s="1"/>
  <c r="U57" i="204"/>
  <c r="D33" i="206" s="1"/>
  <c r="U56" i="204"/>
  <c r="D32" i="206" s="1"/>
  <c r="U55" i="204"/>
  <c r="D31" i="206"/>
  <c r="U54" i="204"/>
  <c r="D30" i="206" s="1"/>
  <c r="U53" i="204"/>
  <c r="D29" i="206"/>
  <c r="U52" i="204"/>
  <c r="D28" i="206" s="1"/>
  <c r="U50" i="204"/>
  <c r="U49" i="204"/>
  <c r="U48" i="204"/>
  <c r="D25" i="206" s="1"/>
  <c r="T47" i="204"/>
  <c r="S47" i="204"/>
  <c r="R47" i="204"/>
  <c r="Q47" i="204"/>
  <c r="P47" i="204"/>
  <c r="O47" i="204"/>
  <c r="T46" i="204"/>
  <c r="S46" i="204"/>
  <c r="R46" i="204"/>
  <c r="F53" i="206" s="1"/>
  <c r="Q46" i="204"/>
  <c r="P46" i="204"/>
  <c r="O46" i="204"/>
  <c r="U45" i="204"/>
  <c r="D24" i="206" s="1"/>
  <c r="U44" i="204"/>
  <c r="D23" i="206"/>
  <c r="U43" i="204"/>
  <c r="D22" i="206" s="1"/>
  <c r="M39" i="204"/>
  <c r="M33" i="204"/>
  <c r="M32" i="204"/>
  <c r="M29" i="204"/>
  <c r="M27" i="204"/>
  <c r="T25" i="204"/>
  <c r="T42" i="204" s="1"/>
  <c r="S25" i="204"/>
  <c r="S42" i="204"/>
  <c r="R25" i="204"/>
  <c r="R42" i="204" s="1"/>
  <c r="Q25" i="204"/>
  <c r="Q42" i="204" s="1"/>
  <c r="P25" i="204"/>
  <c r="P42" i="204" s="1"/>
  <c r="O25" i="204"/>
  <c r="O42" i="204" s="1"/>
  <c r="T24" i="204"/>
  <c r="S24" i="204"/>
  <c r="R24" i="204"/>
  <c r="Q24" i="204"/>
  <c r="O24" i="204"/>
  <c r="P24" i="204"/>
  <c r="M24" i="204"/>
  <c r="U23" i="204"/>
  <c r="U22" i="204"/>
  <c r="G17" i="206" s="1"/>
  <c r="U21" i="204"/>
  <c r="U20" i="204"/>
  <c r="U19" i="204"/>
  <c r="G15" i="206" s="1"/>
  <c r="U18" i="204"/>
  <c r="G14" i="206" s="1"/>
  <c r="U17" i="204"/>
  <c r="G13" i="206" s="1"/>
  <c r="U16" i="204"/>
  <c r="G12" i="206" s="1"/>
  <c r="U15" i="204"/>
  <c r="G11" i="206" s="1"/>
  <c r="U14" i="204"/>
  <c r="G10" i="206" s="1"/>
  <c r="U13" i="204"/>
  <c r="G9" i="206" s="1"/>
  <c r="U12" i="204"/>
  <c r="G8" i="206" s="1"/>
  <c r="U11" i="204"/>
  <c r="B39" i="204"/>
  <c r="B30" i="204"/>
  <c r="B31" i="204"/>
  <c r="B33" i="204"/>
  <c r="B34" i="204"/>
  <c r="B35" i="204"/>
  <c r="J49" i="204"/>
  <c r="C26" i="206" s="1"/>
  <c r="J50" i="204"/>
  <c r="C27" i="206" s="1"/>
  <c r="J52" i="204"/>
  <c r="F28" i="206" s="1"/>
  <c r="J54" i="204"/>
  <c r="C30" i="206" s="1"/>
  <c r="J55" i="204"/>
  <c r="F31" i="206" s="1"/>
  <c r="J56" i="204"/>
  <c r="J57" i="204"/>
  <c r="C33" i="206" s="1"/>
  <c r="F33" i="206"/>
  <c r="J58" i="204"/>
  <c r="J59" i="204"/>
  <c r="C35" i="206"/>
  <c r="J60" i="204"/>
  <c r="C36" i="206" s="1"/>
  <c r="J61" i="204"/>
  <c r="C37" i="206"/>
  <c r="J16" i="204"/>
  <c r="E12" i="206" s="1"/>
  <c r="J17" i="204"/>
  <c r="E13" i="206" s="1"/>
  <c r="J18" i="204"/>
  <c r="K14" i="206" s="1"/>
  <c r="J19" i="204"/>
  <c r="E15" i="206" s="1"/>
  <c r="J21" i="204"/>
  <c r="K16" i="206" s="1"/>
  <c r="E16" i="206"/>
  <c r="J22" i="204"/>
  <c r="J20" i="204" s="1"/>
  <c r="J23" i="204"/>
  <c r="E17" i="206"/>
  <c r="D30" i="204"/>
  <c r="E30" i="204"/>
  <c r="G30" i="204"/>
  <c r="H30" i="204"/>
  <c r="I30" i="204"/>
  <c r="E31" i="204"/>
  <c r="G31" i="204"/>
  <c r="J31" i="204" s="1"/>
  <c r="H31" i="204"/>
  <c r="I31" i="204"/>
  <c r="D32" i="204"/>
  <c r="E32" i="204"/>
  <c r="E26" i="204" s="1"/>
  <c r="G32" i="204"/>
  <c r="H32" i="204"/>
  <c r="I32" i="204"/>
  <c r="D33" i="204"/>
  <c r="E33" i="204"/>
  <c r="G33" i="204"/>
  <c r="H33" i="204"/>
  <c r="I33" i="204"/>
  <c r="G34" i="204"/>
  <c r="H34" i="204"/>
  <c r="I34" i="204"/>
  <c r="D35" i="204"/>
  <c r="E35" i="204"/>
  <c r="G35" i="204"/>
  <c r="H35" i="204"/>
  <c r="I35" i="204"/>
  <c r="U273" i="204"/>
  <c r="AF314" i="204"/>
  <c r="E18" i="206"/>
  <c r="J236" i="204"/>
  <c r="U236" i="204"/>
  <c r="AF236" i="204"/>
  <c r="U263" i="204"/>
  <c r="J263" i="204"/>
  <c r="AF273" i="204"/>
  <c r="AF299" i="204"/>
  <c r="F94" i="206"/>
  <c r="F60" i="206"/>
  <c r="H87" i="206"/>
  <c r="H53" i="206"/>
  <c r="C60" i="206"/>
  <c r="C34" i="206"/>
  <c r="D54" i="206"/>
  <c r="H54" i="206"/>
  <c r="H88" i="206"/>
  <c r="D94" i="206"/>
  <c r="D60" i="206"/>
  <c r="H60" i="206"/>
  <c r="C95" i="206"/>
  <c r="C61" i="206"/>
  <c r="G61" i="206"/>
  <c r="G95" i="206"/>
  <c r="AF210" i="204"/>
  <c r="J277" i="204"/>
  <c r="C32" i="206"/>
  <c r="G53" i="206"/>
  <c r="G87" i="206"/>
  <c r="D87" i="206"/>
  <c r="D53" i="206"/>
  <c r="F95" i="206"/>
  <c r="F61" i="206"/>
  <c r="U110" i="204"/>
  <c r="U251" i="204"/>
  <c r="U277" i="204"/>
  <c r="F87" i="206"/>
  <c r="E54" i="206"/>
  <c r="E88" i="206"/>
  <c r="E60" i="206"/>
  <c r="D95" i="206"/>
  <c r="D61" i="206"/>
  <c r="H95" i="206"/>
  <c r="H61" i="206"/>
  <c r="J110" i="204"/>
  <c r="AF151" i="204"/>
  <c r="AF173" i="204"/>
  <c r="J251" i="204"/>
  <c r="AF251" i="204"/>
  <c r="J273" i="204"/>
  <c r="AF277" i="204"/>
  <c r="AB316" i="204"/>
  <c r="AB317" i="204"/>
  <c r="AB318" i="204" s="1"/>
  <c r="F294" i="204"/>
  <c r="F316" i="204" s="1"/>
  <c r="U314" i="204"/>
  <c r="H216" i="204"/>
  <c r="H231" i="204"/>
  <c r="H253" i="204"/>
  <c r="H254" i="204" s="1"/>
  <c r="P216" i="204"/>
  <c r="P231" i="204"/>
  <c r="P253" i="204" s="1"/>
  <c r="T216" i="204"/>
  <c r="T231" i="204"/>
  <c r="T253" i="204"/>
  <c r="T254" i="204" s="1"/>
  <c r="AC216" i="204"/>
  <c r="J221" i="204"/>
  <c r="G216" i="204"/>
  <c r="U222" i="204"/>
  <c r="R216" i="204"/>
  <c r="AF223" i="204"/>
  <c r="AD216" i="204"/>
  <c r="AD231" i="204" s="1"/>
  <c r="AD253" i="204" s="1"/>
  <c r="J225" i="204"/>
  <c r="AE153" i="204"/>
  <c r="E216" i="204"/>
  <c r="E231" i="204"/>
  <c r="E253" i="204"/>
  <c r="I216" i="204"/>
  <c r="Q216" i="204"/>
  <c r="Q231" i="204"/>
  <c r="Q253" i="204" s="1"/>
  <c r="Q254" i="204" s="1"/>
  <c r="AF220" i="204"/>
  <c r="J222" i="204"/>
  <c r="U223" i="204"/>
  <c r="AF224" i="204"/>
  <c r="AE216" i="204"/>
  <c r="AE231" i="204" s="1"/>
  <c r="AE253" i="204" s="1"/>
  <c r="U220" i="204"/>
  <c r="AF221" i="204"/>
  <c r="J223" i="204"/>
  <c r="U224" i="204"/>
  <c r="AF225" i="204"/>
  <c r="Z216" i="204"/>
  <c r="S216" i="204"/>
  <c r="S231" i="204" s="1"/>
  <c r="S253" i="204" s="1"/>
  <c r="S254" i="204"/>
  <c r="J220" i="204"/>
  <c r="U221" i="204"/>
  <c r="AF222" i="204"/>
  <c r="J224" i="204"/>
  <c r="J216" i="204" s="1"/>
  <c r="U225" i="204"/>
  <c r="AF147" i="204"/>
  <c r="U157" i="204"/>
  <c r="F168" i="204"/>
  <c r="F190" i="204" s="1"/>
  <c r="AD153" i="204"/>
  <c r="AD168" i="204"/>
  <c r="AD190" i="204"/>
  <c r="AB153" i="204"/>
  <c r="AB168" i="204"/>
  <c r="AB190" i="204"/>
  <c r="U161" i="204"/>
  <c r="AF161" i="204"/>
  <c r="O153" i="204"/>
  <c r="AC90" i="204"/>
  <c r="U158" i="204"/>
  <c r="AF159" i="204"/>
  <c r="J161" i="204"/>
  <c r="J162" i="204"/>
  <c r="AF162" i="204"/>
  <c r="AF158" i="204"/>
  <c r="H153" i="204"/>
  <c r="H168" i="204" s="1"/>
  <c r="H190" i="204" s="1"/>
  <c r="H191" i="204" s="1"/>
  <c r="T153" i="204"/>
  <c r="T168" i="204"/>
  <c r="T190" i="204" s="1"/>
  <c r="T191" i="204" s="1"/>
  <c r="U159" i="204"/>
  <c r="AF160" i="204"/>
  <c r="U162" i="204"/>
  <c r="Z153" i="204"/>
  <c r="E153" i="204"/>
  <c r="I168" i="204"/>
  <c r="I190" i="204" s="1"/>
  <c r="Q153" i="204"/>
  <c r="Q168" i="204"/>
  <c r="Q190" i="204" s="1"/>
  <c r="Q191" i="204" s="1"/>
  <c r="AF157" i="204"/>
  <c r="U160" i="204"/>
  <c r="F90" i="204"/>
  <c r="F105" i="204"/>
  <c r="Q90" i="204"/>
  <c r="Q105" i="204" s="1"/>
  <c r="Q127" i="204" s="1"/>
  <c r="AB90" i="204"/>
  <c r="AB105" i="204"/>
  <c r="AE90" i="204"/>
  <c r="AE105" i="204"/>
  <c r="AE127" i="204" s="1"/>
  <c r="AE128" i="204" s="1"/>
  <c r="AF98" i="204"/>
  <c r="AF94" i="204"/>
  <c r="E90" i="204"/>
  <c r="J96" i="204"/>
  <c r="U97" i="204"/>
  <c r="R90" i="204"/>
  <c r="R105" i="204" s="1"/>
  <c r="R127" i="204" s="1"/>
  <c r="U94" i="204"/>
  <c r="AF95" i="204"/>
  <c r="J97" i="204"/>
  <c r="U99" i="204"/>
  <c r="G90" i="204"/>
  <c r="S90" i="204"/>
  <c r="S105" i="204" s="1"/>
  <c r="S279" i="204"/>
  <c r="S294" i="204" s="1"/>
  <c r="S316" i="204" s="1"/>
  <c r="U95" i="204"/>
  <c r="AF96" i="204"/>
  <c r="J98" i="204"/>
  <c r="AF99" i="204"/>
  <c r="P90" i="204"/>
  <c r="J95" i="204"/>
  <c r="AF97" i="204"/>
  <c r="AD90" i="204"/>
  <c r="AD105" i="204" s="1"/>
  <c r="AD127" i="204" s="1"/>
  <c r="AD26" i="204"/>
  <c r="Z26" i="204"/>
  <c r="C58" i="206"/>
  <c r="U283" i="204"/>
  <c r="AF263" i="204"/>
  <c r="G279" i="204"/>
  <c r="U280" i="204"/>
  <c r="AF281" i="204"/>
  <c r="J283" i="204"/>
  <c r="U284" i="204"/>
  <c r="AF285" i="204"/>
  <c r="J287" i="204"/>
  <c r="R289" i="204"/>
  <c r="AF290" i="204"/>
  <c r="AF289" i="204" s="1"/>
  <c r="J292" i="204"/>
  <c r="Z279" i="204"/>
  <c r="AF288" i="204"/>
  <c r="R279" i="204"/>
  <c r="AF280" i="204"/>
  <c r="J282" i="204"/>
  <c r="AF284" i="204"/>
  <c r="J286" i="204"/>
  <c r="U287" i="204"/>
  <c r="J291" i="204"/>
  <c r="J289" i="204" s="1"/>
  <c r="U292" i="204"/>
  <c r="J280" i="204"/>
  <c r="J284" i="204"/>
  <c r="U281" i="204"/>
  <c r="AF282" i="204"/>
  <c r="U285" i="204"/>
  <c r="AF286" i="204"/>
  <c r="AD279" i="204"/>
  <c r="G289" i="204"/>
  <c r="G294" i="204" s="1"/>
  <c r="U290" i="204"/>
  <c r="AF291" i="204"/>
  <c r="O279" i="204"/>
  <c r="O289" i="204"/>
  <c r="O294" i="204" s="1"/>
  <c r="D279" i="204"/>
  <c r="D294" i="204" s="1"/>
  <c r="D316" i="204" s="1"/>
  <c r="D289" i="204"/>
  <c r="O216" i="204"/>
  <c r="AA216" i="204"/>
  <c r="O226" i="204"/>
  <c r="D216" i="204"/>
  <c r="D226" i="204"/>
  <c r="E163" i="204"/>
  <c r="E168" i="204" s="1"/>
  <c r="D153" i="204"/>
  <c r="D168" i="204" s="1"/>
  <c r="P163" i="204"/>
  <c r="Z90" i="204"/>
  <c r="O90" i="204"/>
  <c r="D90" i="204"/>
  <c r="D105" i="204" s="1"/>
  <c r="D100" i="204"/>
  <c r="U28" i="204"/>
  <c r="H8" i="206" s="1"/>
  <c r="AF27" i="204"/>
  <c r="J7" i="206"/>
  <c r="AF30" i="204"/>
  <c r="J10" i="206" s="1"/>
  <c r="AF62" i="204"/>
  <c r="U30" i="204"/>
  <c r="H10" i="206" s="1"/>
  <c r="AF29" i="204"/>
  <c r="J9" i="206" s="1"/>
  <c r="AF38" i="204"/>
  <c r="J17" i="206" s="1"/>
  <c r="AF153" i="204"/>
  <c r="AD294" i="204"/>
  <c r="AD316" i="204" s="1"/>
  <c r="AD317" i="204"/>
  <c r="Z294" i="204"/>
  <c r="Z316" i="204" s="1"/>
  <c r="Z317" i="204"/>
  <c r="Z318" i="204" s="1"/>
  <c r="S255" i="204"/>
  <c r="D231" i="204"/>
  <c r="Q128" i="204"/>
  <c r="G316" i="204"/>
  <c r="G317" i="204"/>
  <c r="O231" i="204"/>
  <c r="O253" i="204" s="1"/>
  <c r="O316" i="204"/>
  <c r="O317" i="204"/>
  <c r="B24" i="204"/>
  <c r="D46" i="204"/>
  <c r="C70" i="206" s="1"/>
  <c r="E46" i="204"/>
  <c r="D44" i="206" s="1"/>
  <c r="F46" i="204"/>
  <c r="E78" i="206" s="1"/>
  <c r="G46" i="204"/>
  <c r="F78" i="206"/>
  <c r="H46" i="204"/>
  <c r="I46" i="204"/>
  <c r="H78" i="206"/>
  <c r="D62" i="204"/>
  <c r="C79" i="206" s="1"/>
  <c r="E62" i="204"/>
  <c r="D71" i="206" s="1"/>
  <c r="F62" i="204"/>
  <c r="E45" i="206" s="1"/>
  <c r="G62" i="204"/>
  <c r="F79" i="206" s="1"/>
  <c r="I62" i="204"/>
  <c r="H45" i="206" s="1"/>
  <c r="I63" i="204"/>
  <c r="H63" i="204"/>
  <c r="G63" i="204"/>
  <c r="F63" i="204"/>
  <c r="E63" i="204"/>
  <c r="D63" i="204"/>
  <c r="I47" i="204"/>
  <c r="H47" i="204"/>
  <c r="G47" i="204"/>
  <c r="F47" i="204"/>
  <c r="E47" i="204"/>
  <c r="D47" i="204"/>
  <c r="J45" i="204"/>
  <c r="F24" i="206"/>
  <c r="J44" i="204"/>
  <c r="J43" i="204"/>
  <c r="C22" i="206" s="1"/>
  <c r="I29" i="204"/>
  <c r="H29" i="204"/>
  <c r="H28" i="204"/>
  <c r="G29" i="204"/>
  <c r="D29" i="204"/>
  <c r="E29" i="204"/>
  <c r="B29" i="204"/>
  <c r="I28" i="204"/>
  <c r="G28" i="204"/>
  <c r="E28" i="204"/>
  <c r="D28" i="204"/>
  <c r="B28" i="204"/>
  <c r="B27" i="204"/>
  <c r="I25" i="204"/>
  <c r="I42" i="204" s="1"/>
  <c r="H25" i="204"/>
  <c r="H42" i="204" s="1"/>
  <c r="G25" i="204"/>
  <c r="G42" i="204" s="1"/>
  <c r="F25" i="204"/>
  <c r="F42" i="204" s="1"/>
  <c r="E25" i="204"/>
  <c r="E42" i="204"/>
  <c r="D25" i="204"/>
  <c r="D42" i="204" s="1"/>
  <c r="I24" i="204"/>
  <c r="H24" i="204"/>
  <c r="G24" i="204"/>
  <c r="F24" i="204"/>
  <c r="E24" i="204"/>
  <c r="D24" i="204"/>
  <c r="J15" i="204"/>
  <c r="J14" i="204"/>
  <c r="E10" i="206"/>
  <c r="J13" i="204"/>
  <c r="E9" i="206" s="1"/>
  <c r="J12" i="204"/>
  <c r="J11" i="204"/>
  <c r="E7" i="206" s="1"/>
  <c r="C24" i="206"/>
  <c r="G44" i="206"/>
  <c r="F70" i="206"/>
  <c r="F44" i="206"/>
  <c r="F23" i="206"/>
  <c r="C23" i="206"/>
  <c r="B102" i="204"/>
  <c r="B91" i="204"/>
  <c r="B97" i="204"/>
  <c r="B101" i="204"/>
  <c r="B92" i="204"/>
  <c r="B95" i="204"/>
  <c r="B103" i="204"/>
  <c r="B94" i="204"/>
  <c r="B93" i="204"/>
  <c r="B96" i="204"/>
  <c r="B99" i="204"/>
  <c r="B98" i="204"/>
  <c r="D163" i="204"/>
  <c r="O318" i="204"/>
  <c r="AF93" i="204"/>
  <c r="H129" i="204"/>
  <c r="AD128" i="204"/>
  <c r="Z100" i="204"/>
  <c r="Z105" i="204"/>
  <c r="F317" i="204"/>
  <c r="F318" i="204" s="1"/>
  <c r="AE279" i="204"/>
  <c r="K10" i="206"/>
  <c r="Q255" i="204"/>
  <c r="D26" i="206"/>
  <c r="D35" i="206"/>
  <c r="F35" i="206"/>
  <c r="C54" i="206"/>
  <c r="AF200" i="204"/>
  <c r="T255" i="204"/>
  <c r="G58" i="206"/>
  <c r="AD191" i="204"/>
  <c r="K18" i="206"/>
  <c r="G18" i="206"/>
  <c r="D27" i="206"/>
  <c r="G60" i="206"/>
  <c r="G94" i="206"/>
  <c r="E61" i="206"/>
  <c r="D88" i="206"/>
  <c r="U188" i="204"/>
  <c r="AD254" i="204"/>
  <c r="AD255" i="204"/>
  <c r="J103" i="204"/>
  <c r="J100" i="204" s="1"/>
  <c r="R37" i="204"/>
  <c r="O37" i="204"/>
  <c r="O36" i="204" s="1"/>
  <c r="H44" i="206"/>
  <c r="F216" i="204"/>
  <c r="T192" i="204"/>
  <c r="AE254" i="204"/>
  <c r="U62" i="204"/>
  <c r="Q192" i="204"/>
  <c r="K17" i="206"/>
  <c r="G16" i="206"/>
  <c r="C53" i="206"/>
  <c r="AF10" i="204"/>
  <c r="AB216" i="204"/>
  <c r="AC26" i="204"/>
  <c r="F58" i="206" s="1"/>
  <c r="AF37" i="204"/>
  <c r="J99" i="204"/>
  <c r="J93" i="204"/>
  <c r="G100" i="204"/>
  <c r="G226" i="204"/>
  <c r="R163" i="204"/>
  <c r="R226" i="204"/>
  <c r="AC100" i="204"/>
  <c r="AC226" i="204"/>
  <c r="AC289" i="204"/>
  <c r="T90" i="204"/>
  <c r="T105" i="204"/>
  <c r="T127" i="204"/>
  <c r="U93" i="204"/>
  <c r="T279" i="204"/>
  <c r="T294" i="204" s="1"/>
  <c r="T316" i="204" s="1"/>
  <c r="U101" i="204"/>
  <c r="U102" i="204"/>
  <c r="U100" i="204"/>
  <c r="O100" i="204"/>
  <c r="P100" i="204"/>
  <c r="P105" i="204"/>
  <c r="P127" i="204"/>
  <c r="AF103" i="204"/>
  <c r="AF100" i="204" s="1"/>
  <c r="J164" i="204"/>
  <c r="J163" i="204" s="1"/>
  <c r="J165" i="204"/>
  <c r="U156" i="204"/>
  <c r="U153" i="204"/>
  <c r="O163" i="204"/>
  <c r="O168" i="204" s="1"/>
  <c r="U164" i="204"/>
  <c r="R168" i="204"/>
  <c r="R190" i="204"/>
  <c r="U166" i="204"/>
  <c r="AA163" i="204"/>
  <c r="AF165" i="204"/>
  <c r="F231" i="204"/>
  <c r="F253" i="204" s="1"/>
  <c r="J217" i="204"/>
  <c r="J219" i="204"/>
  <c r="J229" i="204"/>
  <c r="J228" i="204"/>
  <c r="J226" i="204"/>
  <c r="U219" i="204"/>
  <c r="U216" i="204" s="1"/>
  <c r="R231" i="204"/>
  <c r="U229" i="204"/>
  <c r="U228" i="204"/>
  <c r="U226" i="204" s="1"/>
  <c r="AF217" i="204"/>
  <c r="AF219" i="204"/>
  <c r="AF229" i="204"/>
  <c r="AF226" i="204" s="1"/>
  <c r="AC231" i="204"/>
  <c r="AC253" i="204" s="1"/>
  <c r="AC254" i="204" s="1"/>
  <c r="AF228" i="204"/>
  <c r="AA226" i="204"/>
  <c r="AA231" i="204" s="1"/>
  <c r="AA253" i="204" s="1"/>
  <c r="I279" i="204"/>
  <c r="E279" i="204"/>
  <c r="E294" i="204"/>
  <c r="E316" i="204" s="1"/>
  <c r="U288" i="204"/>
  <c r="U282" i="204"/>
  <c r="AE294" i="204"/>
  <c r="AE316" i="204"/>
  <c r="AA279" i="204"/>
  <c r="AA294" i="204" s="1"/>
  <c r="AF294" i="204" s="1"/>
  <c r="AC279" i="204"/>
  <c r="AC294" i="204"/>
  <c r="AC316" i="204"/>
  <c r="AC318" i="204" s="1"/>
  <c r="AF292" i="204"/>
  <c r="AA90" i="204"/>
  <c r="AA105" i="204" s="1"/>
  <c r="AA127" i="204" s="1"/>
  <c r="AA128" i="204" s="1"/>
  <c r="AA129" i="204" s="1"/>
  <c r="P153" i="204"/>
  <c r="P168" i="204" s="1"/>
  <c r="P190" i="204" s="1"/>
  <c r="G153" i="204"/>
  <c r="G168" i="204"/>
  <c r="G190" i="204" s="1"/>
  <c r="G191" i="204" s="1"/>
  <c r="AF164" i="204"/>
  <c r="AF163" i="204"/>
  <c r="I294" i="204"/>
  <c r="I316" i="204"/>
  <c r="J16" i="206"/>
  <c r="AC317" i="204"/>
  <c r="AC105" i="204"/>
  <c r="AC127" i="204" s="1"/>
  <c r="AC128" i="204" s="1"/>
  <c r="AA316" i="204"/>
  <c r="AA317" i="204" s="1"/>
  <c r="R253" i="204"/>
  <c r="U163" i="204"/>
  <c r="T128" i="204"/>
  <c r="T129" i="204"/>
  <c r="G105" i="204"/>
  <c r="G127" i="204"/>
  <c r="R191" i="204"/>
  <c r="R192" i="204"/>
  <c r="AA168" i="204"/>
  <c r="D127" i="204"/>
  <c r="D129" i="204" s="1"/>
  <c r="AA190" i="204"/>
  <c r="AA192" i="204" s="1"/>
  <c r="R254" i="204"/>
  <c r="AF316" i="204"/>
  <c r="I317" i="204"/>
  <c r="D128" i="204"/>
  <c r="F254" i="204"/>
  <c r="F255" i="204" s="1"/>
  <c r="AA191" i="204"/>
  <c r="I318" i="204"/>
  <c r="R255" i="204"/>
  <c r="K7" i="206"/>
  <c r="G7" i="206"/>
  <c r="U27" i="204"/>
  <c r="H7" i="206" s="1"/>
  <c r="C44" i="206"/>
  <c r="U24" i="204"/>
  <c r="K9" i="206"/>
  <c r="P37" i="204"/>
  <c r="J37" i="204"/>
  <c r="F16" i="206"/>
  <c r="C52" i="206"/>
  <c r="S37" i="204"/>
  <c r="S36" i="204"/>
  <c r="G86" i="206" s="1"/>
  <c r="T37" i="204"/>
  <c r="Q26" i="204"/>
  <c r="E85" i="206"/>
  <c r="T34" i="204"/>
  <c r="T35" i="204"/>
  <c r="P35" i="204"/>
  <c r="S35" i="204"/>
  <c r="S26" i="204" s="1"/>
  <c r="O35" i="204"/>
  <c r="J28" i="204"/>
  <c r="F8" i="206" s="1"/>
  <c r="F36" i="204"/>
  <c r="E77" i="206" s="1"/>
  <c r="J27" i="204"/>
  <c r="G52" i="206"/>
  <c r="T26" i="204"/>
  <c r="S41" i="204"/>
  <c r="S64" i="204" s="1"/>
  <c r="L7" i="206"/>
  <c r="F7" i="206"/>
  <c r="H51" i="206"/>
  <c r="C31" i="206" l="1"/>
  <c r="J53" i="204"/>
  <c r="C29" i="206" s="1"/>
  <c r="C28" i="206"/>
  <c r="F11" i="206"/>
  <c r="L11" i="206"/>
  <c r="F51" i="206"/>
  <c r="F85" i="206"/>
  <c r="R41" i="204"/>
  <c r="R64" i="204" s="1"/>
  <c r="R65" i="204" s="1"/>
  <c r="T41" i="204"/>
  <c r="T64" i="204" s="1"/>
  <c r="H52" i="206"/>
  <c r="H58" i="206"/>
  <c r="D58" i="206"/>
  <c r="J36" i="204"/>
  <c r="F18" i="206"/>
  <c r="F77" i="206"/>
  <c r="F43" i="206"/>
  <c r="D36" i="204"/>
  <c r="P26" i="204"/>
  <c r="AF28" i="204"/>
  <c r="L8" i="206" s="1"/>
  <c r="U38" i="204"/>
  <c r="H17" i="206" s="1"/>
  <c r="AA36" i="204"/>
  <c r="D59" i="206" s="1"/>
  <c r="P36" i="204"/>
  <c r="Z36" i="204"/>
  <c r="C93" i="206" s="1"/>
  <c r="AF20" i="204"/>
  <c r="K11" i="206"/>
  <c r="G93" i="206"/>
  <c r="J35" i="204"/>
  <c r="F15" i="206" s="1"/>
  <c r="J34" i="204"/>
  <c r="F14" i="206" s="1"/>
  <c r="J33" i="204"/>
  <c r="H26" i="204"/>
  <c r="G42" i="206" s="1"/>
  <c r="F32" i="206"/>
  <c r="H77" i="206"/>
  <c r="H36" i="204"/>
  <c r="Q36" i="204"/>
  <c r="E69" i="206" s="1"/>
  <c r="F26" i="204"/>
  <c r="E43" i="206"/>
  <c r="U35" i="204"/>
  <c r="H15" i="206" s="1"/>
  <c r="C86" i="206"/>
  <c r="F30" i="206"/>
  <c r="F69" i="206"/>
  <c r="F34" i="206"/>
  <c r="E36" i="204"/>
  <c r="D43" i="206" s="1"/>
  <c r="AB26" i="204"/>
  <c r="AE36" i="204"/>
  <c r="H59" i="206" s="1"/>
  <c r="F27" i="206"/>
  <c r="C25" i="206"/>
  <c r="F22" i="206"/>
  <c r="H79" i="206"/>
  <c r="H71" i="206"/>
  <c r="F29" i="206"/>
  <c r="F71" i="206"/>
  <c r="G79" i="206"/>
  <c r="C45" i="206"/>
  <c r="K12" i="206"/>
  <c r="F45" i="206"/>
  <c r="K15" i="206"/>
  <c r="E76" i="206"/>
  <c r="E42" i="206"/>
  <c r="F41" i="204"/>
  <c r="F64" i="204" s="1"/>
  <c r="F65" i="204" s="1"/>
  <c r="J10" i="204"/>
  <c r="E14" i="206"/>
  <c r="J24" i="204"/>
  <c r="D45" i="206"/>
  <c r="J62" i="204"/>
  <c r="D79" i="206"/>
  <c r="F26" i="206"/>
  <c r="E68" i="206"/>
  <c r="H41" i="204"/>
  <c r="H64" i="204" s="1"/>
  <c r="H65" i="204" s="1"/>
  <c r="G76" i="206"/>
  <c r="G26" i="204"/>
  <c r="F42" i="206" s="1"/>
  <c r="I26" i="204"/>
  <c r="H76" i="206" s="1"/>
  <c r="D190" i="204"/>
  <c r="J168" i="204"/>
  <c r="F191" i="204"/>
  <c r="F192" i="204" s="1"/>
  <c r="J32" i="204"/>
  <c r="D26" i="204"/>
  <c r="S317" i="204"/>
  <c r="S318" i="204"/>
  <c r="H316" i="204"/>
  <c r="J294" i="204"/>
  <c r="E52" i="206"/>
  <c r="D86" i="206"/>
  <c r="D52" i="206"/>
  <c r="G51" i="206"/>
  <c r="G85" i="206"/>
  <c r="U26" i="204"/>
  <c r="F13" i="206"/>
  <c r="L13" i="206"/>
  <c r="H68" i="206"/>
  <c r="I41" i="204"/>
  <c r="I64" i="204" s="1"/>
  <c r="H42" i="206"/>
  <c r="AA254" i="204"/>
  <c r="AA255" i="204"/>
  <c r="T317" i="204"/>
  <c r="T318" i="204" s="1"/>
  <c r="S128" i="204"/>
  <c r="S129" i="204" s="1"/>
  <c r="Q317" i="204"/>
  <c r="Q318" i="204"/>
  <c r="G129" i="204"/>
  <c r="E317" i="204"/>
  <c r="E318" i="204" s="1"/>
  <c r="S65" i="204"/>
  <c r="S66" i="204" s="1"/>
  <c r="T65" i="204"/>
  <c r="T66" i="204" s="1"/>
  <c r="R128" i="204"/>
  <c r="R129" i="204" s="1"/>
  <c r="F127" i="204"/>
  <c r="I191" i="204"/>
  <c r="I192" i="204"/>
  <c r="AD192" i="204"/>
  <c r="U125" i="204"/>
  <c r="C88" i="206"/>
  <c r="J173" i="204"/>
  <c r="D78" i="206"/>
  <c r="D70" i="206"/>
  <c r="F59" i="206"/>
  <c r="AC41" i="204"/>
  <c r="AC64" i="204" s="1"/>
  <c r="L18" i="206"/>
  <c r="H86" i="206"/>
  <c r="C71" i="206"/>
  <c r="AA318" i="204"/>
  <c r="AF318" i="204" s="1"/>
  <c r="F36" i="206"/>
  <c r="AF90" i="204"/>
  <c r="J18" i="206"/>
  <c r="AF36" i="204"/>
  <c r="U289" i="204"/>
  <c r="AE255" i="204"/>
  <c r="E254" i="204"/>
  <c r="E255" i="204"/>
  <c r="J30" i="204"/>
  <c r="H85" i="206"/>
  <c r="O26" i="204"/>
  <c r="E51" i="206"/>
  <c r="U37" i="204"/>
  <c r="F86" i="206"/>
  <c r="E71" i="206"/>
  <c r="G71" i="206"/>
  <c r="G128" i="204"/>
  <c r="AC129" i="204"/>
  <c r="F93" i="206"/>
  <c r="P128" i="204"/>
  <c r="P129" i="204" s="1"/>
  <c r="AE317" i="204"/>
  <c r="AF317" i="204" s="1"/>
  <c r="AE318" i="204"/>
  <c r="C59" i="206"/>
  <c r="E95" i="206"/>
  <c r="G88" i="206"/>
  <c r="H92" i="206"/>
  <c r="G70" i="206"/>
  <c r="E70" i="206"/>
  <c r="E44" i="206"/>
  <c r="O105" i="204"/>
  <c r="E190" i="204"/>
  <c r="AF279" i="204"/>
  <c r="G92" i="206"/>
  <c r="AD41" i="204"/>
  <c r="AD64" i="204" s="1"/>
  <c r="AB127" i="204"/>
  <c r="Z231" i="204"/>
  <c r="C92" i="206"/>
  <c r="G231" i="204"/>
  <c r="G253" i="204" s="1"/>
  <c r="U46" i="204"/>
  <c r="C87" i="206"/>
  <c r="E8" i="206"/>
  <c r="K8" i="206"/>
  <c r="AB191" i="204"/>
  <c r="AB192" i="204"/>
  <c r="P254" i="204"/>
  <c r="P255" i="204"/>
  <c r="AF110" i="204"/>
  <c r="C94" i="206"/>
  <c r="P317" i="204"/>
  <c r="P318" i="204"/>
  <c r="AC168" i="204"/>
  <c r="AC190" i="204" s="1"/>
  <c r="AF190" i="204" s="1"/>
  <c r="F92" i="206"/>
  <c r="Z191" i="204"/>
  <c r="Z192" i="204"/>
  <c r="D68" i="206"/>
  <c r="K13" i="206"/>
  <c r="C78" i="206"/>
  <c r="AF105" i="204"/>
  <c r="U253" i="204"/>
  <c r="U231" i="204"/>
  <c r="D92" i="206"/>
  <c r="Z127" i="204"/>
  <c r="G192" i="204"/>
  <c r="O190" i="204"/>
  <c r="U168" i="204"/>
  <c r="U90" i="204"/>
  <c r="J8" i="206"/>
  <c r="AF26" i="204"/>
  <c r="AE168" i="204"/>
  <c r="AE190" i="204" s="1"/>
  <c r="H192" i="204"/>
  <c r="AE129" i="204"/>
  <c r="H70" i="206"/>
  <c r="O254" i="204"/>
  <c r="U254" i="204" s="1"/>
  <c r="O255" i="204"/>
  <c r="D317" i="204"/>
  <c r="D318" i="204" s="1"/>
  <c r="J316" i="204"/>
  <c r="AF24" i="204"/>
  <c r="J90" i="204"/>
  <c r="D42" i="206"/>
  <c r="D76" i="206"/>
  <c r="E79" i="206"/>
  <c r="J46" i="204"/>
  <c r="AF168" i="204"/>
  <c r="AC255" i="204"/>
  <c r="P191" i="204"/>
  <c r="P192" i="204"/>
  <c r="AB231" i="204"/>
  <c r="AB253" i="204" s="1"/>
  <c r="J29" i="204"/>
  <c r="G318" i="204"/>
  <c r="D253" i="204"/>
  <c r="AD318" i="204"/>
  <c r="R294" i="204"/>
  <c r="R316" i="204" s="1"/>
  <c r="U279" i="204"/>
  <c r="AD129" i="204"/>
  <c r="E11" i="206"/>
  <c r="E53" i="206"/>
  <c r="E87" i="206"/>
  <c r="J279" i="204"/>
  <c r="E105" i="204"/>
  <c r="E127" i="204" s="1"/>
  <c r="Q129" i="204"/>
  <c r="I231" i="204"/>
  <c r="I253" i="204" s="1"/>
  <c r="H255" i="204"/>
  <c r="U10" i="204"/>
  <c r="E59" i="206"/>
  <c r="E93" i="206"/>
  <c r="I105" i="204"/>
  <c r="I127" i="204" s="1"/>
  <c r="F88" i="206"/>
  <c r="J88" i="204"/>
  <c r="U88" i="204"/>
  <c r="AF88" i="204"/>
  <c r="U173" i="204"/>
  <c r="U200" i="204"/>
  <c r="AF74" i="204"/>
  <c r="J147" i="204"/>
  <c r="S168" i="204"/>
  <c r="S190" i="204" s="1"/>
  <c r="E41" i="204" l="1"/>
  <c r="E64" i="204" s="1"/>
  <c r="E65" i="204" s="1"/>
  <c r="E66" i="204" s="1"/>
  <c r="D77" i="206"/>
  <c r="D69" i="206"/>
  <c r="C43" i="206"/>
  <c r="C77" i="206"/>
  <c r="L15" i="206"/>
  <c r="H93" i="206"/>
  <c r="C69" i="206"/>
  <c r="AE41" i="204"/>
  <c r="AE64" i="204" s="1"/>
  <c r="AE65" i="204" s="1"/>
  <c r="AE66" i="204" s="1"/>
  <c r="D93" i="206"/>
  <c r="H69" i="206"/>
  <c r="L14" i="206"/>
  <c r="E86" i="206"/>
  <c r="E58" i="206"/>
  <c r="AB41" i="204"/>
  <c r="AB64" i="204" s="1"/>
  <c r="E92" i="206"/>
  <c r="AA41" i="204"/>
  <c r="AA64" i="204" s="1"/>
  <c r="Z41" i="204"/>
  <c r="Z64" i="204" s="1"/>
  <c r="G68" i="206"/>
  <c r="R66" i="204"/>
  <c r="L17" i="206"/>
  <c r="Q41" i="204"/>
  <c r="Q64" i="204" s="1"/>
  <c r="Q65" i="204" s="1"/>
  <c r="H80" i="206"/>
  <c r="G77" i="206"/>
  <c r="G80" i="206" s="1"/>
  <c r="G69" i="206"/>
  <c r="G43" i="206"/>
  <c r="D85" i="206"/>
  <c r="P41" i="204"/>
  <c r="P64" i="204" s="1"/>
  <c r="D51" i="206"/>
  <c r="D80" i="206"/>
  <c r="H66" i="204"/>
  <c r="E80" i="206"/>
  <c r="F66" i="204"/>
  <c r="F76" i="206"/>
  <c r="F80" i="206" s="1"/>
  <c r="G41" i="204"/>
  <c r="G64" i="204" s="1"/>
  <c r="G65" i="204" s="1"/>
  <c r="G66" i="204" s="1"/>
  <c r="F68" i="206"/>
  <c r="U318" i="204"/>
  <c r="O127" i="204"/>
  <c r="U105" i="204"/>
  <c r="U36" i="204"/>
  <c r="H16" i="206"/>
  <c r="L16" i="206"/>
  <c r="R318" i="204"/>
  <c r="R317" i="204"/>
  <c r="J105" i="204"/>
  <c r="O191" i="204"/>
  <c r="U191" i="204" s="1"/>
  <c r="U190" i="204"/>
  <c r="U317" i="204"/>
  <c r="AF41" i="204"/>
  <c r="L10" i="206"/>
  <c r="F10" i="206"/>
  <c r="U316" i="204"/>
  <c r="C76" i="206"/>
  <c r="C80" i="206" s="1"/>
  <c r="D41" i="204"/>
  <c r="C42" i="206"/>
  <c r="C68" i="206"/>
  <c r="D255" i="204"/>
  <c r="D254" i="204"/>
  <c r="J253" i="204"/>
  <c r="J317" i="204"/>
  <c r="G255" i="204"/>
  <c r="G254" i="204"/>
  <c r="AC65" i="204"/>
  <c r="AC66" i="204"/>
  <c r="AF64" i="204"/>
  <c r="L9" i="206"/>
  <c r="F9" i="206"/>
  <c r="U255" i="204"/>
  <c r="Z253" i="204"/>
  <c r="AF231" i="204"/>
  <c r="U294" i="204"/>
  <c r="O41" i="204"/>
  <c r="C51" i="206"/>
  <c r="C85" i="206"/>
  <c r="J26" i="204"/>
  <c r="I65" i="204"/>
  <c r="I66" i="204" s="1"/>
  <c r="L12" i="206"/>
  <c r="F12" i="206"/>
  <c r="J190" i="204"/>
  <c r="E194" i="204" s="1"/>
  <c r="D191" i="204"/>
  <c r="D192" i="204"/>
  <c r="I255" i="204"/>
  <c r="I254" i="204"/>
  <c r="AE191" i="204"/>
  <c r="AF191" i="204" s="1"/>
  <c r="AE192" i="204"/>
  <c r="AD65" i="204"/>
  <c r="AD66" i="204" s="1"/>
  <c r="S191" i="204"/>
  <c r="S192" i="204"/>
  <c r="E129" i="204"/>
  <c r="J127" i="204"/>
  <c r="E128" i="204"/>
  <c r="I128" i="204"/>
  <c r="I129" i="204" s="1"/>
  <c r="J231" i="204"/>
  <c r="AB254" i="204"/>
  <c r="AB255" i="204"/>
  <c r="E320" i="204"/>
  <c r="Z128" i="204"/>
  <c r="AF127" i="204"/>
  <c r="Z129" i="204"/>
  <c r="AF129" i="204" s="1"/>
  <c r="AC192" i="204"/>
  <c r="AF192" i="204" s="1"/>
  <c r="AC191" i="204"/>
  <c r="AB128" i="204"/>
  <c r="AB129" i="204"/>
  <c r="E191" i="204"/>
  <c r="E192" i="204" s="1"/>
  <c r="F128" i="204"/>
  <c r="H317" i="204"/>
  <c r="H318" i="204"/>
  <c r="J318" i="204" s="1"/>
  <c r="E319" i="204" s="1"/>
  <c r="Z65" i="204" l="1"/>
  <c r="Z66" i="204"/>
  <c r="AF66" i="204"/>
  <c r="AA65" i="204"/>
  <c r="AA66" i="204"/>
  <c r="Q66" i="204"/>
  <c r="P65" i="204"/>
  <c r="P66" i="204" s="1"/>
  <c r="AB65" i="204"/>
  <c r="AB66" i="204"/>
  <c r="B80" i="206"/>
  <c r="L40" i="206" s="1"/>
  <c r="Z6" i="204" s="1"/>
  <c r="E72" i="206"/>
  <c r="E81" i="206"/>
  <c r="Z255" i="204"/>
  <c r="AF255" i="204" s="1"/>
  <c r="Z254" i="204"/>
  <c r="AF254" i="204" s="1"/>
  <c r="AF253" i="204"/>
  <c r="E257" i="204" s="1"/>
  <c r="J255" i="204"/>
  <c r="F129" i="204"/>
  <c r="J129" i="204" s="1"/>
  <c r="J192" i="204"/>
  <c r="H72" i="206"/>
  <c r="H81" i="206"/>
  <c r="O64" i="204"/>
  <c r="U41" i="204"/>
  <c r="O192" i="204"/>
  <c r="U192" i="204" s="1"/>
  <c r="O128" i="204"/>
  <c r="U128" i="204" s="1"/>
  <c r="U127" i="204"/>
  <c r="D81" i="206"/>
  <c r="J128" i="204"/>
  <c r="J191" i="204"/>
  <c r="AF65" i="204"/>
  <c r="G72" i="206"/>
  <c r="G81" i="206"/>
  <c r="D72" i="206"/>
  <c r="AF128" i="204"/>
  <c r="E131" i="204"/>
  <c r="F81" i="206"/>
  <c r="F72" i="206"/>
  <c r="J254" i="204"/>
  <c r="J41" i="204"/>
  <c r="D64" i="204"/>
  <c r="R7" i="204" l="1"/>
  <c r="E193" i="204"/>
  <c r="U64" i="204"/>
  <c r="O65" i="204"/>
  <c r="U65" i="204" s="1"/>
  <c r="D65" i="204"/>
  <c r="D66" i="204" s="1"/>
  <c r="J66" i="204" s="1"/>
  <c r="J64" i="204"/>
  <c r="O129" i="204"/>
  <c r="U129" i="204" s="1"/>
  <c r="E130" i="204" s="1"/>
  <c r="E256" i="204"/>
  <c r="O66" i="204" l="1"/>
  <c r="U66" i="204" s="1"/>
  <c r="E67" i="204" s="1"/>
  <c r="J65" i="204"/>
  <c r="C81" i="206"/>
  <c r="C72" i="206"/>
  <c r="H67" i="204"/>
  <c r="E68" i="204"/>
</calcChain>
</file>

<file path=xl/sharedStrings.xml><?xml version="1.0" encoding="utf-8"?>
<sst xmlns="http://schemas.openxmlformats.org/spreadsheetml/2006/main" count="552" uniqueCount="121">
  <si>
    <t>Total</t>
  </si>
  <si>
    <t>Overhead</t>
  </si>
  <si>
    <t>Aarhus University</t>
  </si>
  <si>
    <r>
      <t xml:space="preserve">This budget template has been created by </t>
    </r>
    <r>
      <rPr>
        <b/>
        <i/>
        <sz val="16"/>
        <color theme="0"/>
        <rFont val="Arial"/>
        <family val="2"/>
      </rPr>
      <t>AU - Forskningsstøtteenheden/Research Support Office.</t>
    </r>
  </si>
  <si>
    <t>Contact us here.</t>
  </si>
  <si>
    <t>Partner overview</t>
  </si>
  <si>
    <t>Self-financing</t>
  </si>
  <si>
    <t>Funding from other sources</t>
  </si>
  <si>
    <t>i</t>
  </si>
  <si>
    <t>Personnel - man months</t>
  </si>
  <si>
    <t>Salaries in DKK</t>
  </si>
  <si>
    <t>Total (DKK)</t>
  </si>
  <si>
    <t>Yearly increase</t>
  </si>
  <si>
    <t>Total Salaries</t>
  </si>
  <si>
    <t>ii</t>
  </si>
  <si>
    <t>Equipment</t>
  </si>
  <si>
    <t>Total Equipment</t>
  </si>
  <si>
    <t>iii</t>
  </si>
  <si>
    <t>TOTAL</t>
  </si>
  <si>
    <t>Subtotal (i + ii + iii)</t>
  </si>
  <si>
    <t>Total Budget</t>
  </si>
  <si>
    <t>Partner 2</t>
  </si>
  <si>
    <t>Partner 3</t>
  </si>
  <si>
    <t>Partner 4</t>
  </si>
  <si>
    <t>Partner 5</t>
  </si>
  <si>
    <t>Applied for at DFF</t>
  </si>
  <si>
    <t>Section 1</t>
  </si>
  <si>
    <t>Section 3</t>
  </si>
  <si>
    <t>Section 2</t>
  </si>
  <si>
    <t>VIP</t>
  </si>
  <si>
    <t>TAP</t>
  </si>
  <si>
    <t>Operating expenses</t>
  </si>
  <si>
    <t>Total Operating expenses</t>
  </si>
  <si>
    <t>Project starts:</t>
  </si>
  <si>
    <t>Position</t>
  </si>
  <si>
    <t>First name</t>
  </si>
  <si>
    <t>Surname</t>
  </si>
  <si>
    <t>Number of months (DFF)</t>
  </si>
  <si>
    <t>Amount DKK (DFF)</t>
  </si>
  <si>
    <t>Months 
(co-financing)</t>
  </si>
  <si>
    <t>Amount DKK
(co-financing)</t>
  </si>
  <si>
    <t>Months 
(other sources)</t>
  </si>
  <si>
    <t>Amount DKK (other sources)</t>
  </si>
  <si>
    <t>Total months</t>
  </si>
  <si>
    <t>Total amount DKK</t>
  </si>
  <si>
    <t>Participant type (enter the participants' names in the Overview sheet)</t>
  </si>
  <si>
    <t>Description (tasks and salary expenses, max. 300 characters)</t>
  </si>
  <si>
    <t>Expense type (select from the drop-down list)</t>
  </si>
  <si>
    <t>Quantity</t>
  </si>
  <si>
    <t>Amount DKK (co-funded)</t>
  </si>
  <si>
    <t>Description (max. 300 characters)</t>
  </si>
  <si>
    <t>DFF financing</t>
  </si>
  <si>
    <t>VIP salaries</t>
  </si>
  <si>
    <t>TAP salaries</t>
  </si>
  <si>
    <t>Equipment expenses</t>
  </si>
  <si>
    <t>Total excl. overheads</t>
  </si>
  <si>
    <t>Overheads</t>
  </si>
  <si>
    <t>Total DFF-financing</t>
  </si>
  <si>
    <t>Co-financing</t>
  </si>
  <si>
    <t>Total co-financing</t>
  </si>
  <si>
    <t>Total funding from other sources</t>
  </si>
  <si>
    <t xml:space="preserve">                             To be entered in "Administrating Institution" rows 74-123</t>
  </si>
  <si>
    <t>To be entered in "Administrating Institution" rows 21-42</t>
  </si>
  <si>
    <t>Total expenditure</t>
  </si>
  <si>
    <t>Total budget</t>
  </si>
  <si>
    <t>Checklist for Overview rows 12-41  - not to be entered</t>
  </si>
  <si>
    <t>Description of salary expenses to be entered in sheet "Administrating Institution" rows 45-70</t>
  </si>
  <si>
    <t>Yearly distribution for Aarhus University (Administrating Institution) to be entered in sheet "Administrating Institution" rows 21-42</t>
  </si>
  <si>
    <t>Description of other expenses to be entered in sheet "Administrating Institution" rows 74-123</t>
  </si>
  <si>
    <t xml:space="preserve">                                      To be entered in "Administrating Institution" rows 45-70</t>
  </si>
  <si>
    <t>DFF budget accepts only whole months. The below cells are rounded.</t>
  </si>
  <si>
    <t>Total partner budget incl overhead (applied+co-fin+other):</t>
  </si>
  <si>
    <t>Total partner budget excl overhead(applied+co-fin+other):</t>
  </si>
  <si>
    <t>Total project applied excl.overhead:</t>
  </si>
  <si>
    <t>Total (all partners) applied excl. Overhead</t>
  </si>
  <si>
    <t>Overview of numbers to be entered in the original DFF template for AU (Administrating institution) only*</t>
  </si>
  <si>
    <t>OBS: DFF template budget starts with 2016. This template starts with 2017.</t>
  </si>
  <si>
    <t>Checklist budget for Total project budget (all partners included) in sheet "Overview". Cannot be entered in the DFF template</t>
  </si>
  <si>
    <t>*The budget items for partner (non-AU) do not appear in these tables except for the total project budget. Make sure you add their budget items separately in the DFF budget</t>
  </si>
  <si>
    <t>Cells marked with a red frame must be entered into the DFF template. Check that the total project budget (with all partners) in the original template aligns with the total project budget at the bottom.</t>
  </si>
  <si>
    <t>Project ends:</t>
  </si>
  <si>
    <t>Main applicant:</t>
  </si>
  <si>
    <t>Project title:</t>
  </si>
  <si>
    <t>Student assistent</t>
  </si>
  <si>
    <t>Lab. Technician</t>
  </si>
  <si>
    <t>Administrator:</t>
  </si>
  <si>
    <t>Institution 2:</t>
  </si>
  <si>
    <t>Institution 3:</t>
  </si>
  <si>
    <t>Institution 4:</t>
  </si>
  <si>
    <t>Institution 5:</t>
  </si>
  <si>
    <t>All partners applied excl. Overhead:</t>
  </si>
  <si>
    <t>VIP - First name</t>
  </si>
  <si>
    <t>VIP - Last name</t>
  </si>
  <si>
    <t>Link til R7</t>
  </si>
  <si>
    <r>
      <t xml:space="preserve">5) </t>
    </r>
    <r>
      <rPr>
        <b/>
        <sz val="11"/>
        <color theme="1"/>
        <rFont val="Calibri"/>
        <family val="2"/>
        <scheme val="minor"/>
      </rPr>
      <t xml:space="preserve">De kopierede værdier fra baggrundsbudgettet </t>
    </r>
    <r>
      <rPr>
        <b/>
        <sz val="11"/>
        <color rgb="FFFF0000"/>
        <rFont val="Calibri"/>
        <family val="2"/>
        <scheme val="minor"/>
      </rPr>
      <t>SKAL</t>
    </r>
    <r>
      <rPr>
        <b/>
        <sz val="11"/>
        <color theme="1"/>
        <rFont val="Calibri"/>
        <family val="2"/>
        <scheme val="minor"/>
      </rPr>
      <t xml:space="preserve"> indsættes som "indsæt værdier"</t>
    </r>
    <r>
      <rPr>
        <sz val="11"/>
        <color theme="1"/>
        <rFont val="Calibri"/>
        <family val="2"/>
        <scheme val="minor"/>
      </rPr>
      <t>. Det gøres på følgende måde:</t>
    </r>
  </si>
  <si>
    <t>3) I den fremkommende hurtigmenu vælges "Værdier (V)" under Instillingerne for Sæt ind. Se billede:</t>
  </si>
  <si>
    <t>1) Lav baggrundsbudgettet.</t>
  </si>
  <si>
    <t>4) Cellerne markeret med en rød ramme i baggrundsbudgettet angiver de værdier, som skal overføres til DFF-skabelonen.</t>
  </si>
  <si>
    <t>Link til mappe</t>
  </si>
  <si>
    <t>2) Når budgettet er færdiggjort skal nogle værdier kopieres over i DFF's tomme budgetskabelon, som findes i mappen for budgetskabeloner.</t>
  </si>
  <si>
    <t>Postdoc</t>
  </si>
  <si>
    <t>3) Diverse grundlæggende oplysninger skal indtastes i den tomme skabelon før løn- og driftsudgifter fra baggrundsbudgettet kan kopieres over. Se guidelines i DFF's budget.</t>
  </si>
  <si>
    <t>Alternativt skrives hver værdi manuelt ind i DFF's skabelon</t>
  </si>
  <si>
    <t xml:space="preserve">1) Kopier relevante celler i baggrundsbudgettet (Ctrl+C) </t>
  </si>
  <si>
    <t xml:space="preserve">2) Marker og højreklik på celle(erne) i DFF's skabelon, hvortil værdierne skal kopieres </t>
  </si>
  <si>
    <t>6) Dobbelt-tjek det samlede ansøgte beløb/samlede projektbeløb i det nye budget med tallet i baggrundsbudgettet (celle R7).</t>
  </si>
  <si>
    <t>DFF: Startdato mellem 1/7-2019 og 1/1-2020</t>
  </si>
  <si>
    <t xml:space="preserve">Kasper Munch Terkelsen </t>
  </si>
  <si>
    <t>Phd Part A</t>
  </si>
  <si>
    <t>Phd Part B</t>
  </si>
  <si>
    <t xml:space="preserve">Computer </t>
  </si>
  <si>
    <t xml:space="preserve">Inddækning </t>
  </si>
  <si>
    <t>Phd 3-year</t>
  </si>
  <si>
    <t>PhD Study fee 2+2 (Tuition fee)</t>
  </si>
  <si>
    <t>Phd Study fee 3-year (Tuition fee)</t>
  </si>
  <si>
    <t>High performance computing. Estimated 6 CPU years per project month. 0.08 DKK per CPU hour at genome.dk</t>
  </si>
  <si>
    <t xml:space="preserve">Consumables. Software licenses, books, </t>
  </si>
  <si>
    <t>Publication costs</t>
  </si>
  <si>
    <t>Sekventering at Human Genome Sequencing Center, Huston, Texas  (40 genomes a 13000 DDK)</t>
  </si>
  <si>
    <t>Conference participation..</t>
  </si>
  <si>
    <t>Travel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</si>
</sst>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kr.&quot;\ #,##0;[Red]&quot;kr.&quot;\ \-#,##0"/>
    <numFmt numFmtId="165" formatCode="_(* #,##0.00_);_(* \(#,##0.00\);_(* &quot;-&quot;??_);_(@_)"/>
    <numFmt numFmtId="166" formatCode="#,##0_ ;[Red]\-#,##0\ "/>
  </numFmts>
  <fonts count="34" x14ac:knownFonts="1">
    <font>
      <sz val="11"/>
      <color theme="1"/>
      <name val="Calibri"/>
      <family val="2"/>
      <scheme val="minor"/>
    </font>
    <font>
      <sz val="11"/>
      <color theme="1"/>
      <name val="Calibri"/>
      <family val="2"/>
      <scheme val="minor"/>
    </font>
    <font>
      <sz val="11"/>
      <name val="Arial"/>
      <family val="2"/>
    </font>
    <font>
      <u/>
      <sz val="11"/>
      <color theme="10"/>
      <name val="Calibri"/>
      <family val="2"/>
      <scheme val="minor"/>
    </font>
    <font>
      <b/>
      <sz val="11"/>
      <color theme="1"/>
      <name val="Calibri"/>
      <family val="2"/>
      <scheme val="minor"/>
    </font>
    <font>
      <sz val="10"/>
      <color theme="1"/>
      <name val="Calibri"/>
      <family val="2"/>
      <scheme val="minor"/>
    </font>
    <font>
      <b/>
      <sz val="11"/>
      <color theme="0"/>
      <name val="Calibri"/>
      <family val="2"/>
      <scheme val="minor"/>
    </font>
    <font>
      <sz val="11"/>
      <color theme="0"/>
      <name val="Calibri"/>
      <family val="2"/>
      <scheme val="minor"/>
    </font>
    <font>
      <i/>
      <sz val="16"/>
      <color theme="0"/>
      <name val="Arial"/>
      <family val="2"/>
    </font>
    <font>
      <b/>
      <i/>
      <sz val="16"/>
      <color theme="0"/>
      <name val="Arial"/>
      <family val="2"/>
    </font>
    <font>
      <i/>
      <u/>
      <sz val="16"/>
      <color theme="0"/>
      <name val="Arial"/>
      <family val="2"/>
    </font>
    <font>
      <b/>
      <sz val="24"/>
      <color theme="1"/>
      <name val="Calibri"/>
      <family val="2"/>
      <scheme val="minor"/>
    </font>
    <font>
      <b/>
      <sz val="20"/>
      <color theme="1"/>
      <name val="Calibri"/>
      <family val="2"/>
      <scheme val="minor"/>
    </font>
    <font>
      <b/>
      <i/>
      <sz val="24"/>
      <color rgb="FFFF0000"/>
      <name val="Calibri"/>
      <family val="2"/>
      <scheme val="minor"/>
    </font>
    <font>
      <b/>
      <i/>
      <sz val="24"/>
      <color theme="1"/>
      <name val="Calibri"/>
      <family val="2"/>
      <scheme val="minor"/>
    </font>
    <font>
      <b/>
      <sz val="20"/>
      <color theme="0"/>
      <name val="Calibri"/>
      <family val="2"/>
      <scheme val="minor"/>
    </font>
    <font>
      <b/>
      <sz val="20"/>
      <name val="Calibri"/>
      <family val="2"/>
    </font>
    <font>
      <b/>
      <sz val="10"/>
      <name val="Calibri"/>
      <family val="2"/>
    </font>
    <font>
      <sz val="10"/>
      <name val="Calibri"/>
      <family val="2"/>
    </font>
    <font>
      <u/>
      <sz val="16"/>
      <color theme="10"/>
      <name val="Calibri"/>
      <family val="2"/>
      <scheme val="minor"/>
    </font>
    <font>
      <b/>
      <i/>
      <sz val="24"/>
      <color theme="3" tint="0.39997558519241921"/>
      <name val="Calibri"/>
      <family val="2"/>
      <scheme val="minor"/>
    </font>
    <font>
      <b/>
      <sz val="10"/>
      <color theme="0"/>
      <name val="Calibri"/>
      <family val="2"/>
      <scheme val="minor"/>
    </font>
    <font>
      <b/>
      <sz val="10"/>
      <color theme="1"/>
      <name val="Calibri"/>
      <family val="2"/>
      <scheme val="minor"/>
    </font>
    <font>
      <sz val="11"/>
      <color rgb="FFFF0000"/>
      <name val="Calibri"/>
      <family val="2"/>
      <scheme val="minor"/>
    </font>
    <font>
      <sz val="14"/>
      <color theme="1"/>
      <name val="Calibri"/>
      <family val="2"/>
      <scheme val="minor"/>
    </font>
    <font>
      <b/>
      <sz val="11"/>
      <color rgb="FFFF0000"/>
      <name val="Calibri"/>
      <family val="2"/>
      <scheme val="minor"/>
    </font>
    <font>
      <b/>
      <sz val="16"/>
      <color theme="1"/>
      <name val="Calibri"/>
      <family val="2"/>
      <scheme val="minor"/>
    </font>
    <font>
      <b/>
      <sz val="20"/>
      <name val="Calibri"/>
      <family val="2"/>
      <scheme val="minor"/>
    </font>
    <font>
      <sz val="11"/>
      <name val="Calibri"/>
      <family val="2"/>
      <scheme val="minor"/>
    </font>
    <font>
      <b/>
      <i/>
      <sz val="18"/>
      <color rgb="FFFF0000"/>
      <name val="Calibri"/>
      <family val="2"/>
      <scheme val="minor"/>
    </font>
    <font>
      <b/>
      <i/>
      <sz val="18"/>
      <color theme="3" tint="0.39997558519241921"/>
      <name val="Calibri"/>
      <family val="2"/>
      <scheme val="minor"/>
    </font>
    <font>
      <b/>
      <sz val="8"/>
      <name val="Calibri"/>
      <family val="2"/>
      <scheme val="minor"/>
    </font>
    <font>
      <b/>
      <sz val="10"/>
      <name val="Calibri"/>
      <family val="2"/>
      <scheme val="minor"/>
    </font>
    <font>
      <b/>
      <sz val="12"/>
      <name val="Calibri"/>
      <family val="2"/>
      <scheme val="minor"/>
    </font>
  </fonts>
  <fills count="24">
    <fill>
      <patternFill patternType="none"/>
    </fill>
    <fill>
      <patternFill patternType="gray125"/>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CC"/>
        <bgColor indexed="64"/>
      </patternFill>
    </fill>
    <fill>
      <patternFill patternType="solid">
        <fgColor rgb="FFD9D9D9"/>
        <bgColor indexed="64"/>
      </patternFill>
    </fill>
    <fill>
      <patternFill patternType="solid">
        <fgColor theme="1"/>
        <bgColor indexed="64"/>
      </patternFill>
    </fill>
    <fill>
      <patternFill patternType="solid">
        <fgColor indexed="42"/>
        <bgColor indexed="64"/>
      </patternFill>
    </fill>
    <fill>
      <patternFill patternType="solid">
        <fgColor indexed="40"/>
        <bgColor indexed="64"/>
      </patternFill>
    </fill>
    <fill>
      <patternFill patternType="solid">
        <fgColor theme="9" tint="0.59999389629810485"/>
        <bgColor indexed="64"/>
      </patternFill>
    </fill>
    <fill>
      <patternFill patternType="solid">
        <fgColor theme="0"/>
        <bgColor indexed="64"/>
      </patternFill>
    </fill>
    <fill>
      <patternFill patternType="solid">
        <fgColor theme="1"/>
        <bgColor theme="1"/>
      </patternFill>
    </fill>
    <fill>
      <patternFill patternType="solid">
        <fgColor rgb="FF014A68"/>
        <bgColor theme="1"/>
      </patternFill>
    </fill>
    <fill>
      <patternFill patternType="solid">
        <fgColor rgb="FF80B726"/>
        <bgColor theme="1"/>
      </patternFill>
    </fill>
    <fill>
      <patternFill patternType="solid">
        <fgColor rgb="FFF59601"/>
        <bgColor theme="1"/>
      </patternFill>
    </fill>
    <fill>
      <patternFill patternType="solid">
        <fgColor theme="0" tint="-0.14996795556505021"/>
        <bgColor indexed="64"/>
      </patternFill>
    </fill>
    <fill>
      <patternFill patternType="solid">
        <fgColor theme="9" tint="-0.24994659260841701"/>
        <bgColor theme="1"/>
      </patternFill>
    </fill>
    <fill>
      <patternFill patternType="solid">
        <fgColor theme="0" tint="-0.34998626667073579"/>
        <bgColor indexed="64"/>
      </patternFill>
    </fill>
    <fill>
      <patternFill patternType="solid">
        <fgColor theme="4" tint="0.59999389629810485"/>
        <bgColor indexed="64"/>
      </patternFill>
    </fill>
    <fill>
      <patternFill patternType="gray0625">
        <bgColor theme="0" tint="-0.14993743705557422"/>
      </patternFill>
    </fill>
    <fill>
      <patternFill patternType="gray0625">
        <bgColor rgb="FFD9D9D9"/>
      </patternFill>
    </fill>
    <fill>
      <patternFill patternType="gray0625">
        <bgColor theme="0" tint="-0.14999847407452621"/>
      </patternFill>
    </fill>
    <fill>
      <patternFill patternType="gray0625">
        <bgColor theme="0" tint="-0.14996795556505021"/>
      </patternFill>
    </fill>
  </fills>
  <borders count="126">
    <border>
      <left/>
      <right/>
      <top/>
      <bottom/>
      <diagonal/>
    </border>
    <border>
      <left style="medium">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thin">
        <color auto="1"/>
      </bottom>
      <diagonal/>
    </border>
    <border>
      <left/>
      <right/>
      <top style="thin">
        <color auto="1"/>
      </top>
      <bottom style="medium">
        <color auto="1"/>
      </bottom>
      <diagonal/>
    </border>
    <border>
      <left style="medium">
        <color auto="1"/>
      </left>
      <right/>
      <top/>
      <bottom/>
      <diagonal/>
    </border>
    <border>
      <left/>
      <right/>
      <top style="medium">
        <color auto="1"/>
      </top>
      <bottom style="thin">
        <color auto="1"/>
      </bottom>
      <diagonal/>
    </border>
    <border>
      <left/>
      <right/>
      <top style="medium">
        <color auto="1"/>
      </top>
      <bottom/>
      <diagonal/>
    </border>
    <border>
      <left style="thin">
        <color auto="1"/>
      </left>
      <right/>
      <top style="medium">
        <color auto="1"/>
      </top>
      <bottom style="thin">
        <color auto="1"/>
      </bottom>
      <diagonal/>
    </border>
    <border>
      <left/>
      <right/>
      <top/>
      <bottom style="medium">
        <color auto="1"/>
      </bottom>
      <diagonal/>
    </border>
    <border>
      <left/>
      <right style="thin">
        <color auto="1"/>
      </right>
      <top/>
      <bottom/>
      <diagonal/>
    </border>
    <border>
      <left/>
      <right style="thin">
        <color auto="1"/>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top style="thin">
        <color auto="1"/>
      </top>
      <bottom/>
      <diagonal/>
    </border>
    <border>
      <left style="medium">
        <color auto="1"/>
      </left>
      <right/>
      <top/>
      <bottom style="thin">
        <color auto="1"/>
      </bottom>
      <diagonal/>
    </border>
    <border>
      <left/>
      <right style="thin">
        <color auto="1"/>
      </right>
      <top/>
      <bottom style="thin">
        <color auto="1"/>
      </bottom>
      <diagonal/>
    </border>
    <border>
      <left/>
      <right/>
      <top/>
      <bottom style="thin">
        <color auto="1"/>
      </bottom>
      <diagonal/>
    </border>
    <border>
      <left style="medium">
        <color auto="1"/>
      </left>
      <right style="medium">
        <color auto="1"/>
      </right>
      <top/>
      <bottom style="medium">
        <color auto="1"/>
      </bottom>
      <diagonal/>
    </border>
    <border>
      <left/>
      <right/>
      <top style="thin">
        <color auto="1"/>
      </top>
      <bottom/>
      <diagonal/>
    </border>
    <border>
      <left/>
      <right style="medium">
        <color auto="1"/>
      </right>
      <top style="medium">
        <color auto="1"/>
      </top>
      <bottom style="thin">
        <color auto="1"/>
      </bottom>
      <diagonal/>
    </border>
    <border>
      <left/>
      <right style="medium">
        <color auto="1"/>
      </right>
      <top style="thin">
        <color auto="1"/>
      </top>
      <bottom style="thin">
        <color auto="1"/>
      </bottom>
      <diagonal/>
    </border>
    <border>
      <left/>
      <right style="medium">
        <color auto="1"/>
      </right>
      <top/>
      <bottom/>
      <diagonal/>
    </border>
    <border>
      <left/>
      <right style="medium">
        <color auto="1"/>
      </right>
      <top style="thin">
        <color auto="1"/>
      </top>
      <bottom/>
      <diagonal/>
    </border>
    <border>
      <left/>
      <right style="medium">
        <color auto="1"/>
      </right>
      <top style="thin">
        <color auto="1"/>
      </top>
      <bottom style="medium">
        <color auto="1"/>
      </bottom>
      <diagonal/>
    </border>
    <border>
      <left/>
      <right style="medium">
        <color auto="1"/>
      </right>
      <top/>
      <bottom style="thin">
        <color auto="1"/>
      </bottom>
      <diagonal/>
    </border>
    <border>
      <left style="medium">
        <color theme="1"/>
      </left>
      <right/>
      <top style="medium">
        <color theme="1"/>
      </top>
      <bottom/>
      <diagonal/>
    </border>
    <border>
      <left style="thin">
        <color theme="1"/>
      </left>
      <right/>
      <top style="medium">
        <color theme="1"/>
      </top>
      <bottom/>
      <diagonal/>
    </border>
    <border>
      <left style="thin">
        <color theme="1"/>
      </left>
      <right style="medium">
        <color theme="1"/>
      </right>
      <top style="medium">
        <color theme="1"/>
      </top>
      <bottom/>
      <diagonal/>
    </border>
    <border>
      <left style="medium">
        <color theme="1"/>
      </left>
      <right/>
      <top style="thin">
        <color theme="1"/>
      </top>
      <bottom/>
      <diagonal/>
    </border>
    <border>
      <left style="thin">
        <color theme="1"/>
      </left>
      <right/>
      <top style="thin">
        <color theme="1"/>
      </top>
      <bottom/>
      <diagonal/>
    </border>
    <border>
      <left style="thin">
        <color auto="1"/>
      </left>
      <right style="thin">
        <color auto="1"/>
      </right>
      <top style="medium">
        <color auto="1"/>
      </top>
      <bottom style="thin">
        <color auto="1"/>
      </bottom>
      <diagonal/>
    </border>
    <border>
      <left style="thin">
        <color theme="1"/>
      </left>
      <right style="thin">
        <color theme="1"/>
      </right>
      <top style="medium">
        <color theme="1"/>
      </top>
      <bottom/>
      <diagonal/>
    </border>
    <border>
      <left style="thin">
        <color auto="1"/>
      </left>
      <right style="thin">
        <color auto="1"/>
      </right>
      <top style="thin">
        <color auto="1"/>
      </top>
      <bottom style="thin">
        <color auto="1"/>
      </bottom>
      <diagonal/>
    </border>
    <border>
      <left style="thin">
        <color theme="1"/>
      </left>
      <right style="thin">
        <color theme="1"/>
      </right>
      <top style="medium">
        <color rgb="FF014A68"/>
      </top>
      <bottom style="thin">
        <color theme="1"/>
      </bottom>
      <diagonal/>
    </border>
    <border>
      <left style="thin">
        <color theme="1"/>
      </left>
      <right style="thin">
        <color theme="1"/>
      </right>
      <top style="thin">
        <color theme="1"/>
      </top>
      <bottom style="thin">
        <color theme="1"/>
      </bottom>
      <diagonal/>
    </border>
    <border>
      <left style="thin">
        <color theme="1"/>
      </left>
      <right style="medium">
        <color rgb="FF014A68"/>
      </right>
      <top style="thin">
        <color theme="1"/>
      </top>
      <bottom style="thin">
        <color theme="1"/>
      </bottom>
      <diagonal/>
    </border>
    <border>
      <left style="thin">
        <color theme="1"/>
      </left>
      <right style="thin">
        <color theme="1"/>
      </right>
      <top style="thin">
        <color theme="1"/>
      </top>
      <bottom style="medium">
        <color rgb="FF014A68"/>
      </bottom>
      <diagonal/>
    </border>
    <border>
      <left style="thin">
        <color theme="1"/>
      </left>
      <right style="medium">
        <color rgb="FF014A68"/>
      </right>
      <top style="thin">
        <color theme="1"/>
      </top>
      <bottom style="medium">
        <color rgb="FF014A68"/>
      </bottom>
      <diagonal/>
    </border>
    <border>
      <left style="thin">
        <color theme="1"/>
      </left>
      <right style="thin">
        <color theme="1"/>
      </right>
      <top style="medium">
        <color rgb="FF80B726"/>
      </top>
      <bottom style="thin">
        <color theme="1"/>
      </bottom>
      <diagonal/>
    </border>
    <border>
      <left style="thin">
        <color theme="1"/>
      </left>
      <right style="thin">
        <color theme="1"/>
      </right>
      <top style="thin">
        <color theme="1"/>
      </top>
      <bottom style="medium">
        <color rgb="FF80B726"/>
      </bottom>
      <diagonal/>
    </border>
    <border>
      <left style="thin">
        <color theme="1"/>
      </left>
      <right style="medium">
        <color rgb="FF80B726"/>
      </right>
      <top style="thin">
        <color theme="1"/>
      </top>
      <bottom style="medium">
        <color rgb="FF80B726"/>
      </bottom>
      <diagonal/>
    </border>
    <border>
      <left style="thin">
        <color theme="1"/>
      </left>
      <right style="thin">
        <color theme="1"/>
      </right>
      <top style="medium">
        <color rgb="FFF59601"/>
      </top>
      <bottom style="thin">
        <color theme="1"/>
      </bottom>
      <diagonal/>
    </border>
    <border>
      <left style="thin">
        <color theme="1"/>
      </left>
      <right style="thin">
        <color theme="1"/>
      </right>
      <top style="thin">
        <color theme="1"/>
      </top>
      <bottom style="medium">
        <color rgb="FFF59601"/>
      </bottom>
      <diagonal/>
    </border>
    <border>
      <left style="thin">
        <color theme="1"/>
      </left>
      <right style="medium">
        <color rgb="FFF59601"/>
      </right>
      <top style="thin">
        <color theme="1"/>
      </top>
      <bottom style="medium">
        <color rgb="FFF59601"/>
      </bottom>
      <diagonal/>
    </border>
    <border>
      <left style="thin">
        <color auto="1"/>
      </left>
      <right/>
      <top style="thin">
        <color auto="1"/>
      </top>
      <bottom/>
      <diagonal/>
    </border>
    <border>
      <left style="thin">
        <color auto="1"/>
      </left>
      <right style="thin">
        <color theme="1"/>
      </right>
      <top style="medium">
        <color rgb="FF014A68"/>
      </top>
      <bottom style="thin">
        <color theme="1"/>
      </bottom>
      <diagonal/>
    </border>
    <border>
      <left style="thin">
        <color auto="1"/>
      </left>
      <right style="thin">
        <color theme="1"/>
      </right>
      <top style="thin">
        <color theme="1"/>
      </top>
      <bottom style="thin">
        <color theme="1"/>
      </bottom>
      <diagonal/>
    </border>
    <border>
      <left style="thin">
        <color auto="1"/>
      </left>
      <right style="thin">
        <color theme="1"/>
      </right>
      <top style="thin">
        <color theme="1"/>
      </top>
      <bottom style="medium">
        <color rgb="FF014A68"/>
      </bottom>
      <diagonal/>
    </border>
    <border>
      <left style="thin">
        <color auto="1"/>
      </left>
      <right/>
      <top/>
      <bottom/>
      <diagonal/>
    </border>
    <border>
      <left style="thin">
        <color auto="1"/>
      </left>
      <right style="thin">
        <color theme="1"/>
      </right>
      <top style="medium">
        <color rgb="FF80B726"/>
      </top>
      <bottom style="thin">
        <color theme="1"/>
      </bottom>
      <diagonal/>
    </border>
    <border>
      <left style="thin">
        <color auto="1"/>
      </left>
      <right style="thin">
        <color theme="1"/>
      </right>
      <top style="thin">
        <color theme="1"/>
      </top>
      <bottom style="medium">
        <color rgb="FF80B726"/>
      </bottom>
      <diagonal/>
    </border>
    <border>
      <left style="thin">
        <color auto="1"/>
      </left>
      <right style="thin">
        <color theme="1"/>
      </right>
      <top style="medium">
        <color rgb="FFF59601"/>
      </top>
      <bottom style="thin">
        <color theme="1"/>
      </bottom>
      <diagonal/>
    </border>
    <border>
      <left style="thin">
        <color auto="1"/>
      </left>
      <right style="thin">
        <color theme="1"/>
      </right>
      <top style="thin">
        <color theme="1"/>
      </top>
      <bottom style="medium">
        <color rgb="FFF59601"/>
      </bottom>
      <diagonal/>
    </border>
    <border>
      <left style="thin">
        <color auto="1"/>
      </left>
      <right/>
      <top/>
      <bottom style="thin">
        <color auto="1"/>
      </bottom>
      <diagonal/>
    </border>
    <border>
      <left style="medium">
        <color theme="1"/>
      </left>
      <right style="medium">
        <color theme="1"/>
      </right>
      <top style="medium">
        <color theme="1"/>
      </top>
      <bottom style="thin">
        <color theme="1"/>
      </bottom>
      <diagonal/>
    </border>
    <border>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medium">
        <color theme="1"/>
      </left>
      <right style="medium">
        <color theme="1"/>
      </right>
      <top style="thin">
        <color theme="1"/>
      </top>
      <bottom style="thin">
        <color theme="1"/>
      </bottom>
      <diagonal/>
    </border>
    <border>
      <left/>
      <right style="thin">
        <color theme="1"/>
      </right>
      <top style="thin">
        <color theme="1"/>
      </top>
      <bottom style="thin">
        <color theme="1"/>
      </bottom>
      <diagonal/>
    </border>
    <border>
      <left style="medium">
        <color theme="1"/>
      </left>
      <right style="medium">
        <color theme="1"/>
      </right>
      <top style="thin">
        <color theme="1"/>
      </top>
      <bottom style="medium">
        <color theme="1"/>
      </bottom>
      <diagonal/>
    </border>
    <border>
      <left/>
      <right style="thin">
        <color theme="1"/>
      </right>
      <top style="thin">
        <color theme="1"/>
      </top>
      <bottom style="medium">
        <color theme="1"/>
      </bottom>
      <diagonal/>
    </border>
    <border>
      <left/>
      <right style="medium">
        <color theme="1"/>
      </right>
      <top style="thin">
        <color theme="1"/>
      </top>
      <bottom style="medium">
        <color theme="1"/>
      </bottom>
      <diagonal/>
    </border>
    <border>
      <left style="thin">
        <color auto="1"/>
      </left>
      <right style="medium">
        <color theme="1"/>
      </right>
      <top style="medium">
        <color theme="1"/>
      </top>
      <bottom style="thin">
        <color theme="1"/>
      </bottom>
      <diagonal/>
    </border>
    <border>
      <left style="thin">
        <color auto="1"/>
      </left>
      <right style="medium">
        <color theme="1"/>
      </right>
      <top style="thin">
        <color theme="1"/>
      </top>
      <bottom style="thin">
        <color theme="1"/>
      </bottom>
      <diagonal/>
    </border>
    <border>
      <left style="thin">
        <color auto="1"/>
      </left>
      <right style="medium">
        <color theme="1"/>
      </right>
      <top style="thin">
        <color theme="1"/>
      </top>
      <bottom style="medium">
        <color theme="1"/>
      </bottom>
      <diagonal/>
    </border>
    <border>
      <left style="thin">
        <color theme="1"/>
      </left>
      <right/>
      <top/>
      <bottom/>
      <diagonal/>
    </border>
    <border>
      <left/>
      <right/>
      <top style="thin">
        <color theme="1"/>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diagonal/>
    </border>
    <border>
      <left style="thin">
        <color theme="1"/>
      </left>
      <right/>
      <top style="medium">
        <color rgb="FFFF0000"/>
      </top>
      <bottom/>
      <diagonal/>
    </border>
    <border>
      <left style="thin">
        <color theme="1"/>
      </left>
      <right style="medium">
        <color rgb="FFFF0000"/>
      </right>
      <top style="medium">
        <color rgb="FFFF0000"/>
      </top>
      <bottom/>
      <diagonal/>
    </border>
    <border>
      <left style="medium">
        <color rgb="FFFF0000"/>
      </left>
      <right/>
      <top style="thin">
        <color theme="1"/>
      </top>
      <bottom/>
      <diagonal/>
    </border>
    <border>
      <left style="thin">
        <color theme="1"/>
      </left>
      <right style="medium">
        <color rgb="FFFF0000"/>
      </right>
      <top style="thin">
        <color theme="1"/>
      </top>
      <bottom/>
      <diagonal/>
    </border>
    <border>
      <left style="medium">
        <color rgb="FFFF0000"/>
      </left>
      <right/>
      <top style="thin">
        <color theme="1"/>
      </top>
      <bottom style="medium">
        <color rgb="FFFF0000"/>
      </bottom>
      <diagonal/>
    </border>
    <border>
      <left style="thin">
        <color theme="1"/>
      </left>
      <right/>
      <top style="thin">
        <color theme="1"/>
      </top>
      <bottom style="medium">
        <color rgb="FFFF0000"/>
      </bottom>
      <diagonal/>
    </border>
    <border>
      <left style="thin">
        <color theme="1"/>
      </left>
      <right style="medium">
        <color rgb="FFFF0000"/>
      </right>
      <top style="thin">
        <color theme="1"/>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thin">
        <color theme="1"/>
      </top>
      <bottom/>
      <diagonal/>
    </border>
    <border>
      <left style="medium">
        <color rgb="FFFF0000"/>
      </left>
      <right style="medium">
        <color rgb="FFFF0000"/>
      </right>
      <top style="thin">
        <color theme="1"/>
      </top>
      <bottom style="medium">
        <color rgb="FFFF0000"/>
      </bottom>
      <diagonal/>
    </border>
    <border>
      <left style="medium">
        <color rgb="FFFF0000"/>
      </left>
      <right style="thin">
        <color auto="1"/>
      </right>
      <top style="medium">
        <color rgb="FFFF0000"/>
      </top>
      <bottom style="thin">
        <color auto="1"/>
      </bottom>
      <diagonal/>
    </border>
    <border>
      <left style="thin">
        <color auto="1"/>
      </left>
      <right style="thin">
        <color auto="1"/>
      </right>
      <top style="medium">
        <color rgb="FFFF0000"/>
      </top>
      <bottom style="thin">
        <color auto="1"/>
      </bottom>
      <diagonal/>
    </border>
    <border>
      <left style="medium">
        <color rgb="FFFF0000"/>
      </left>
      <right style="thin">
        <color auto="1"/>
      </right>
      <top style="thin">
        <color auto="1"/>
      </top>
      <bottom style="thin">
        <color auto="1"/>
      </bottom>
      <diagonal/>
    </border>
    <border>
      <left style="thin">
        <color auto="1"/>
      </left>
      <right style="medium">
        <color rgb="FFFF0000"/>
      </right>
      <top style="thin">
        <color auto="1"/>
      </top>
      <bottom style="thin">
        <color auto="1"/>
      </bottom>
      <diagonal/>
    </border>
    <border>
      <left style="medium">
        <color rgb="FFFF0000"/>
      </left>
      <right style="thin">
        <color auto="1"/>
      </right>
      <top style="thin">
        <color auto="1"/>
      </top>
      <bottom style="medium">
        <color rgb="FFFF0000"/>
      </bottom>
      <diagonal/>
    </border>
    <border>
      <left style="thin">
        <color auto="1"/>
      </left>
      <right style="thin">
        <color auto="1"/>
      </right>
      <top style="thin">
        <color auto="1"/>
      </top>
      <bottom style="medium">
        <color rgb="FFFF0000"/>
      </bottom>
      <diagonal/>
    </border>
    <border>
      <left style="thin">
        <color auto="1"/>
      </left>
      <right style="medium">
        <color rgb="FFFF0000"/>
      </right>
      <top style="thin">
        <color auto="1"/>
      </top>
      <bottom style="medium">
        <color rgb="FFFF0000"/>
      </bottom>
      <diagonal/>
    </border>
    <border>
      <left style="thin">
        <color auto="1"/>
      </left>
      <right style="medium">
        <color rgb="FFFF0000"/>
      </right>
      <top style="medium">
        <color rgb="FFFF0000"/>
      </top>
      <bottom style="thin">
        <color auto="1"/>
      </bottom>
      <diagonal/>
    </border>
    <border>
      <left style="thin">
        <color theme="1"/>
      </left>
      <right/>
      <top style="thin">
        <color theme="1"/>
      </top>
      <bottom style="thin">
        <color theme="1"/>
      </bottom>
      <diagonal/>
    </border>
    <border>
      <left style="thin">
        <color theme="1"/>
      </left>
      <right style="thin">
        <color theme="1"/>
      </right>
      <top style="medium">
        <color rgb="FF014A68"/>
      </top>
      <bottom/>
      <diagonal/>
    </border>
    <border>
      <left style="thin">
        <color theme="1"/>
      </left>
      <right style="thin">
        <color theme="1"/>
      </right>
      <top/>
      <bottom style="thin">
        <color theme="1"/>
      </bottom>
      <diagonal/>
    </border>
    <border>
      <left style="thin">
        <color theme="1"/>
      </left>
      <right style="medium">
        <color rgb="FF014A68"/>
      </right>
      <top/>
      <bottom style="thin">
        <color theme="1"/>
      </bottom>
      <diagonal/>
    </border>
    <border>
      <left style="medium">
        <color rgb="FFFF0000"/>
      </left>
      <right style="thin">
        <color theme="1"/>
      </right>
      <top style="medium">
        <color rgb="FFFF0000"/>
      </top>
      <bottom style="thin">
        <color theme="1"/>
      </bottom>
      <diagonal/>
    </border>
    <border>
      <left style="thin">
        <color theme="1"/>
      </left>
      <right style="thin">
        <color theme="1"/>
      </right>
      <top style="medium">
        <color rgb="FFFF0000"/>
      </top>
      <bottom style="thin">
        <color theme="1"/>
      </bottom>
      <diagonal/>
    </border>
    <border>
      <left style="thin">
        <color theme="1"/>
      </left>
      <right style="medium">
        <color rgb="FFFF0000"/>
      </right>
      <top style="medium">
        <color rgb="FFFF0000"/>
      </top>
      <bottom style="thin">
        <color theme="1"/>
      </bottom>
      <diagonal/>
    </border>
    <border>
      <left style="medium">
        <color rgb="FFFF0000"/>
      </left>
      <right style="thin">
        <color theme="1"/>
      </right>
      <top style="thin">
        <color theme="1"/>
      </top>
      <bottom style="thin">
        <color theme="1"/>
      </bottom>
      <diagonal/>
    </border>
    <border>
      <left style="thin">
        <color theme="1"/>
      </left>
      <right style="medium">
        <color rgb="FFFF0000"/>
      </right>
      <top style="thin">
        <color theme="1"/>
      </top>
      <bottom style="thin">
        <color theme="1"/>
      </bottom>
      <diagonal/>
    </border>
    <border>
      <left style="medium">
        <color rgb="FFFF0000"/>
      </left>
      <right style="thin">
        <color theme="1"/>
      </right>
      <top style="thin">
        <color theme="1"/>
      </top>
      <bottom style="medium">
        <color rgb="FFFF0000"/>
      </bottom>
      <diagonal/>
    </border>
    <border>
      <left style="thin">
        <color theme="1"/>
      </left>
      <right style="thin">
        <color theme="1"/>
      </right>
      <top style="thin">
        <color theme="1"/>
      </top>
      <bottom style="medium">
        <color rgb="FFFF0000"/>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theme="1"/>
      </left>
      <right style="thin">
        <color theme="1"/>
      </right>
      <top style="medium">
        <color rgb="FF80B726"/>
      </top>
      <bottom/>
      <diagonal/>
    </border>
    <border>
      <left style="thin">
        <color theme="1"/>
      </left>
      <right style="thin">
        <color theme="1"/>
      </right>
      <top/>
      <bottom style="medium">
        <color rgb="FF80B726"/>
      </bottom>
      <diagonal/>
    </border>
    <border>
      <left style="thin">
        <color theme="1"/>
      </left>
      <right style="medium">
        <color rgb="FF80B726"/>
      </right>
      <top/>
      <bottom style="medium">
        <color rgb="FF80B726"/>
      </bottom>
      <diagonal/>
    </border>
    <border>
      <left style="thin">
        <color theme="1"/>
      </left>
      <right style="thin">
        <color theme="1"/>
      </right>
      <top style="medium">
        <color rgb="FFF59601"/>
      </top>
      <bottom/>
      <diagonal/>
    </border>
    <border>
      <left style="thin">
        <color theme="1"/>
      </left>
      <right style="thin">
        <color theme="1"/>
      </right>
      <top/>
      <bottom style="medium">
        <color rgb="FFF59601"/>
      </bottom>
      <diagonal/>
    </border>
    <border>
      <left style="thin">
        <color theme="1"/>
      </left>
      <right style="medium">
        <color rgb="FFF59601"/>
      </right>
      <top/>
      <bottom style="medium">
        <color rgb="FFF59601"/>
      </bottom>
      <diagonal/>
    </border>
    <border>
      <left/>
      <right/>
      <top/>
      <bottom style="medium">
        <color theme="1"/>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style="medium">
        <color rgb="FFFF0000"/>
      </right>
      <top/>
      <bottom style="medium">
        <color rgb="FFFF0000"/>
      </bottom>
      <diagonal/>
    </border>
    <border>
      <left/>
      <right style="medium">
        <color auto="1"/>
      </right>
      <top/>
      <bottom style="medium">
        <color auto="1"/>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medium">
        <color rgb="FFFF0000"/>
      </left>
      <right/>
      <top style="medium">
        <color auto="1"/>
      </top>
      <bottom style="medium">
        <color auto="1"/>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right/>
      <top style="medium">
        <color rgb="FFFF0000"/>
      </top>
      <bottom/>
      <diagonal/>
    </border>
    <border>
      <left/>
      <right/>
      <top/>
      <bottom style="medium">
        <color rgb="FFFF0000"/>
      </bottom>
      <diagonal/>
    </border>
  </borders>
  <cellStyleXfs count="6">
    <xf numFmtId="0" fontId="0" fillId="0" borderId="0"/>
    <xf numFmtId="9" fontId="1" fillId="0" borderId="0" applyFont="0" applyFill="0" applyBorder="0" applyAlignment="0" applyProtection="0"/>
    <xf numFmtId="0" fontId="2" fillId="0" borderId="0"/>
    <xf numFmtId="9" fontId="2" fillId="0" borderId="0" applyFont="0" applyFill="0" applyBorder="0" applyAlignment="0" applyProtection="0"/>
    <xf numFmtId="165" fontId="2" fillId="0" borderId="0" applyFont="0" applyFill="0" applyBorder="0" applyAlignment="0" applyProtection="0"/>
    <xf numFmtId="0" fontId="3" fillId="0" borderId="0" applyNumberFormat="0" applyFill="0" applyBorder="0" applyAlignment="0" applyProtection="0"/>
  </cellStyleXfs>
  <cellXfs count="339">
    <xf numFmtId="0" fontId="0" fillId="0" borderId="0" xfId="0"/>
    <xf numFmtId="0" fontId="8" fillId="5" borderId="0" xfId="0" applyFont="1" applyFill="1" applyAlignment="1" applyProtection="1">
      <alignment vertical="center"/>
    </xf>
    <xf numFmtId="0" fontId="10" fillId="5" borderId="0" xfId="5" applyFont="1" applyFill="1" applyAlignment="1" applyProtection="1">
      <alignment vertical="center"/>
    </xf>
    <xf numFmtId="0" fontId="7" fillId="5" borderId="0" xfId="0" applyFont="1" applyFill="1" applyAlignment="1" applyProtection="1">
      <alignment vertical="center"/>
    </xf>
    <xf numFmtId="0" fontId="0" fillId="0" borderId="0" xfId="0" applyAlignment="1" applyProtection="1">
      <alignment vertical="center"/>
      <protection locked="0"/>
    </xf>
    <xf numFmtId="0" fontId="12" fillId="0" borderId="0" xfId="0" applyFont="1" applyFill="1" applyAlignment="1" applyProtection="1">
      <alignment vertical="center"/>
      <protection locked="0"/>
    </xf>
    <xf numFmtId="0" fontId="11" fillId="4" borderId="0" xfId="0" applyFont="1" applyFill="1" applyAlignment="1" applyProtection="1">
      <alignment vertical="center"/>
      <protection locked="0"/>
    </xf>
    <xf numFmtId="0" fontId="14" fillId="4" borderId="0" xfId="0" applyFont="1" applyFill="1" applyAlignment="1" applyProtection="1">
      <alignment vertical="center"/>
      <protection locked="0"/>
    </xf>
    <xf numFmtId="0" fontId="11" fillId="6" borderId="0" xfId="0" applyFont="1" applyFill="1" applyAlignment="1" applyProtection="1">
      <alignment vertical="center"/>
      <protection locked="0"/>
    </xf>
    <xf numFmtId="0" fontId="0" fillId="6" borderId="0" xfId="0" applyFill="1" applyAlignment="1" applyProtection="1">
      <alignment vertical="center"/>
      <protection locked="0"/>
    </xf>
    <xf numFmtId="0" fontId="15" fillId="0" borderId="0" xfId="0" applyFont="1" applyFill="1" applyAlignment="1" applyProtection="1">
      <alignment vertical="center"/>
      <protection locked="0"/>
    </xf>
    <xf numFmtId="0" fontId="12" fillId="0" borderId="0" xfId="0" applyFont="1" applyFill="1" applyBorder="1" applyAlignment="1" applyProtection="1">
      <alignment horizontal="center" vertical="center"/>
      <protection locked="0"/>
    </xf>
    <xf numFmtId="0" fontId="17" fillId="0" borderId="11" xfId="0" applyFont="1" applyFill="1" applyBorder="1" applyAlignment="1" applyProtection="1">
      <alignment horizontal="center" vertical="center"/>
      <protection locked="0"/>
    </xf>
    <xf numFmtId="0" fontId="17" fillId="0" borderId="9" xfId="0" applyFont="1" applyFill="1" applyBorder="1" applyAlignment="1" applyProtection="1">
      <alignment horizontal="center" vertical="center"/>
      <protection locked="0"/>
    </xf>
    <xf numFmtId="0" fontId="17" fillId="0" borderId="0" xfId="0" applyFont="1" applyFill="1" applyBorder="1" applyAlignment="1" applyProtection="1">
      <alignment horizontal="center" vertical="center"/>
      <protection locked="0"/>
    </xf>
    <xf numFmtId="0" fontId="18" fillId="2" borderId="0" xfId="0" applyFont="1" applyFill="1" applyBorder="1" applyAlignment="1" applyProtection="1">
      <alignment vertical="center"/>
      <protection locked="0"/>
    </xf>
    <xf numFmtId="0" fontId="18" fillId="0" borderId="0" xfId="0" applyFont="1" applyFill="1" applyBorder="1" applyAlignment="1" applyProtection="1">
      <alignment vertical="center"/>
      <protection locked="0"/>
    </xf>
    <xf numFmtId="0" fontId="17" fillId="0" borderId="7" xfId="0" applyFont="1" applyFill="1" applyBorder="1" applyAlignment="1" applyProtection="1">
      <alignment horizontal="left" vertical="center"/>
      <protection locked="0"/>
    </xf>
    <xf numFmtId="0" fontId="18" fillId="0" borderId="7" xfId="0" applyFont="1" applyFill="1" applyBorder="1" applyAlignment="1" applyProtection="1">
      <alignment vertical="center"/>
      <protection locked="0"/>
    </xf>
    <xf numFmtId="0" fontId="17" fillId="0" borderId="9" xfId="0" applyFont="1" applyFill="1" applyBorder="1" applyAlignment="1" applyProtection="1">
      <alignment horizontal="left" vertical="center"/>
      <protection locked="0"/>
    </xf>
    <xf numFmtId="0" fontId="18" fillId="0" borderId="0" xfId="0" applyFont="1" applyFill="1" applyBorder="1" applyAlignment="1" applyProtection="1">
      <alignment horizontal="left" vertical="center"/>
      <protection locked="0"/>
    </xf>
    <xf numFmtId="3" fontId="18" fillId="2" borderId="0" xfId="0" applyNumberFormat="1" applyFont="1" applyFill="1" applyBorder="1" applyAlignment="1" applyProtection="1">
      <alignment horizontal="center" vertical="center"/>
      <protection locked="0"/>
    </xf>
    <xf numFmtId="3" fontId="18" fillId="0" borderId="0" xfId="0" applyNumberFormat="1" applyFont="1" applyFill="1" applyBorder="1" applyAlignment="1" applyProtection="1">
      <alignment vertical="center"/>
      <protection locked="0"/>
    </xf>
    <xf numFmtId="0" fontId="5" fillId="0" borderId="0" xfId="0" applyFont="1" applyAlignment="1" applyProtection="1">
      <alignment vertical="center"/>
      <protection locked="0"/>
    </xf>
    <xf numFmtId="0" fontId="18" fillId="3" borderId="1" xfId="0" applyFont="1" applyFill="1" applyBorder="1" applyAlignment="1" applyProtection="1">
      <alignment horizontal="left" vertical="center"/>
      <protection locked="0"/>
    </xf>
    <xf numFmtId="9" fontId="18" fillId="2" borderId="2" xfId="1" applyFont="1" applyFill="1" applyBorder="1" applyAlignment="1" applyProtection="1">
      <alignment horizontal="center" vertical="center"/>
      <protection locked="0"/>
    </xf>
    <xf numFmtId="3" fontId="18" fillId="3" borderId="2" xfId="0" applyNumberFormat="1" applyFont="1" applyFill="1" applyBorder="1" applyAlignment="1" applyProtection="1">
      <alignment vertical="center"/>
      <protection locked="0"/>
    </xf>
    <xf numFmtId="3" fontId="18" fillId="3" borderId="0" xfId="0" applyNumberFormat="1" applyFont="1" applyFill="1" applyBorder="1" applyAlignment="1" applyProtection="1">
      <alignment vertical="center"/>
      <protection locked="0"/>
    </xf>
    <xf numFmtId="3" fontId="18" fillId="0" borderId="7" xfId="0" applyNumberFormat="1" applyFont="1" applyFill="1" applyBorder="1" applyAlignment="1" applyProtection="1">
      <alignment vertical="center"/>
      <protection locked="0"/>
    </xf>
    <xf numFmtId="3" fontId="18" fillId="2" borderId="0" xfId="0" applyNumberFormat="1"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4" fillId="0" borderId="0" xfId="0" applyFont="1" applyFill="1" applyBorder="1" applyAlignment="1" applyProtection="1">
      <alignment vertical="center"/>
      <protection locked="0"/>
    </xf>
    <xf numFmtId="0" fontId="6" fillId="0" borderId="0" xfId="0" applyFont="1" applyFill="1" applyBorder="1" applyAlignment="1" applyProtection="1">
      <alignment vertical="center"/>
      <protection locked="0"/>
    </xf>
    <xf numFmtId="0" fontId="17" fillId="0" borderId="0" xfId="0" applyFont="1" applyFill="1" applyBorder="1" applyAlignment="1" applyProtection="1">
      <alignment horizontal="left" vertical="center"/>
      <protection locked="0"/>
    </xf>
    <xf numFmtId="9" fontId="18" fillId="2" borderId="0" xfId="1" applyFont="1" applyFill="1" applyBorder="1" applyAlignment="1" applyProtection="1">
      <alignment horizontal="center" vertical="center"/>
      <protection locked="0"/>
    </xf>
    <xf numFmtId="0" fontId="18" fillId="2" borderId="8" xfId="0" applyFont="1" applyFill="1" applyBorder="1" applyAlignment="1" applyProtection="1">
      <alignment horizontal="left" vertical="center"/>
      <protection locked="0"/>
    </xf>
    <xf numFmtId="0" fontId="18" fillId="2" borderId="13" xfId="0" applyFont="1" applyFill="1" applyBorder="1" applyAlignment="1" applyProtection="1">
      <alignment horizontal="left" vertical="center"/>
      <protection locked="0"/>
    </xf>
    <xf numFmtId="0" fontId="17" fillId="0" borderId="9" xfId="0" applyFont="1" applyFill="1" applyBorder="1" applyAlignment="1" applyProtection="1">
      <alignment horizontal="left" vertical="center"/>
      <protection locked="0"/>
    </xf>
    <xf numFmtId="0" fontId="18" fillId="4" borderId="2" xfId="0" applyFont="1" applyFill="1" applyBorder="1" applyAlignment="1" applyProtection="1">
      <alignment vertical="center"/>
      <protection locked="0"/>
    </xf>
    <xf numFmtId="0" fontId="18" fillId="0" borderId="22" xfId="0" applyFont="1" applyFill="1" applyBorder="1" applyAlignment="1" applyProtection="1">
      <alignment vertical="center"/>
      <protection locked="0"/>
    </xf>
    <xf numFmtId="3" fontId="18" fillId="0" borderId="2" xfId="0" applyNumberFormat="1" applyFont="1" applyFill="1" applyBorder="1" applyAlignment="1" applyProtection="1">
      <alignment vertical="center"/>
      <protection locked="0"/>
    </xf>
    <xf numFmtId="3" fontId="18" fillId="4" borderId="2" xfId="0" applyNumberFormat="1" applyFont="1" applyFill="1" applyBorder="1" applyAlignment="1" applyProtection="1">
      <alignment vertical="center"/>
      <protection locked="0"/>
    </xf>
    <xf numFmtId="0" fontId="4" fillId="0" borderId="0" xfId="0" applyFont="1" applyBorder="1" applyAlignment="1" applyProtection="1">
      <alignment horizontal="center" vertical="center" textRotation="90"/>
      <protection locked="0"/>
    </xf>
    <xf numFmtId="0" fontId="0" fillId="0" borderId="8" xfId="0" applyBorder="1" applyAlignment="1" applyProtection="1">
      <alignment vertical="center"/>
      <protection locked="0"/>
    </xf>
    <xf numFmtId="0" fontId="0" fillId="0" borderId="16" xfId="0" applyBorder="1" applyAlignment="1" applyProtection="1">
      <alignment vertical="center"/>
      <protection locked="0"/>
    </xf>
    <xf numFmtId="0" fontId="11" fillId="4" borderId="12" xfId="0" applyFont="1" applyFill="1" applyBorder="1" applyAlignment="1" applyProtection="1">
      <alignment vertical="center"/>
      <protection locked="0"/>
    </xf>
    <xf numFmtId="0" fontId="17" fillId="0" borderId="23" xfId="0" applyFont="1" applyFill="1" applyBorder="1" applyAlignment="1" applyProtection="1">
      <alignment horizontal="center" vertical="center"/>
      <protection locked="0"/>
    </xf>
    <xf numFmtId="0" fontId="18" fillId="0" borderId="25" xfId="0" applyFont="1" applyFill="1" applyBorder="1" applyAlignment="1" applyProtection="1">
      <alignment vertical="center"/>
      <protection locked="0"/>
    </xf>
    <xf numFmtId="0" fontId="18" fillId="0" borderId="26" xfId="0" applyFont="1" applyFill="1" applyBorder="1" applyAlignment="1" applyProtection="1">
      <alignment vertical="center"/>
      <protection locked="0"/>
    </xf>
    <xf numFmtId="3" fontId="18" fillId="0" borderId="24" xfId="0" applyNumberFormat="1" applyFont="1" applyFill="1" applyBorder="1" applyAlignment="1" applyProtection="1">
      <alignment vertical="center"/>
      <protection locked="0"/>
    </xf>
    <xf numFmtId="3" fontId="18" fillId="0" borderId="25" xfId="0" applyNumberFormat="1" applyFont="1" applyFill="1" applyBorder="1" applyAlignment="1" applyProtection="1">
      <alignment vertical="center"/>
      <protection locked="0"/>
    </xf>
    <xf numFmtId="3" fontId="18" fillId="11" borderId="24" xfId="0" applyNumberFormat="1" applyFont="1" applyFill="1" applyBorder="1" applyAlignment="1" applyProtection="1">
      <alignment vertical="center"/>
      <protection locked="0"/>
    </xf>
    <xf numFmtId="3" fontId="18" fillId="0" borderId="28" xfId="0" applyNumberFormat="1" applyFont="1" applyFill="1" applyBorder="1" applyAlignment="1" applyProtection="1">
      <alignment vertical="center"/>
      <protection locked="0"/>
    </xf>
    <xf numFmtId="3" fontId="18" fillId="3" borderId="25" xfId="0" applyNumberFormat="1" applyFont="1" applyFill="1" applyBorder="1" applyAlignment="1" applyProtection="1">
      <alignment vertical="center"/>
      <protection locked="0"/>
    </xf>
    <xf numFmtId="3" fontId="18" fillId="0" borderId="27" xfId="0" applyNumberFormat="1" applyFont="1" applyFill="1" applyBorder="1" applyAlignment="1" applyProtection="1">
      <alignment vertical="center"/>
      <protection locked="0"/>
    </xf>
    <xf numFmtId="0" fontId="0" fillId="0" borderId="0" xfId="0" applyBorder="1" applyAlignment="1" applyProtection="1">
      <alignment vertical="center"/>
      <protection locked="0"/>
    </xf>
    <xf numFmtId="0" fontId="18" fillId="2" borderId="8" xfId="0" applyFont="1" applyFill="1" applyBorder="1" applyAlignment="1" applyProtection="1">
      <alignment horizontal="left" vertical="center"/>
      <protection locked="0"/>
    </xf>
    <xf numFmtId="0" fontId="18" fillId="2" borderId="13" xfId="0" applyFont="1" applyFill="1" applyBorder="1" applyAlignment="1" applyProtection="1">
      <alignment horizontal="left" vertical="center"/>
      <protection locked="0"/>
    </xf>
    <xf numFmtId="0" fontId="21" fillId="13" borderId="30" xfId="0" applyFont="1" applyFill="1" applyBorder="1" applyAlignment="1">
      <alignment vertical="top" wrapText="1"/>
    </xf>
    <xf numFmtId="0" fontId="21" fillId="14" borderId="30" xfId="0" applyFont="1" applyFill="1" applyBorder="1" applyAlignment="1">
      <alignment vertical="top" wrapText="1"/>
    </xf>
    <xf numFmtId="0" fontId="21" fillId="15" borderId="30" xfId="0" applyFont="1" applyFill="1" applyBorder="1" applyAlignment="1">
      <alignment vertical="top" wrapText="1"/>
    </xf>
    <xf numFmtId="0" fontId="22" fillId="16" borderId="32" xfId="0" applyFont="1" applyFill="1" applyBorder="1" applyAlignment="1">
      <alignment vertical="top" wrapText="1"/>
    </xf>
    <xf numFmtId="0" fontId="21" fillId="12" borderId="29" xfId="0" applyFont="1" applyFill="1" applyBorder="1" applyAlignment="1">
      <alignment horizontal="left" vertical="top" wrapText="1"/>
    </xf>
    <xf numFmtId="0" fontId="21" fillId="12" borderId="30" xfId="0" applyFont="1" applyFill="1" applyBorder="1" applyAlignment="1">
      <alignment horizontal="left" vertical="top" wrapText="1"/>
    </xf>
    <xf numFmtId="0" fontId="21" fillId="12" borderId="31" xfId="0" applyFont="1" applyFill="1" applyBorder="1" applyAlignment="1">
      <alignment horizontal="left" vertical="top" wrapText="1"/>
    </xf>
    <xf numFmtId="0" fontId="21" fillId="12" borderId="34" xfId="0" applyFont="1" applyFill="1" applyBorder="1" applyAlignment="1">
      <alignment horizontal="left" vertical="top" wrapText="1"/>
    </xf>
    <xf numFmtId="0" fontId="21" fillId="13" borderId="35" xfId="0" applyFont="1" applyFill="1" applyBorder="1" applyAlignment="1">
      <alignment vertical="top" wrapText="1"/>
    </xf>
    <xf numFmtId="0" fontId="21" fillId="17" borderId="35" xfId="0" applyFont="1" applyFill="1" applyBorder="1" applyAlignment="1">
      <alignment vertical="top" wrapText="1"/>
    </xf>
    <xf numFmtId="0" fontId="21" fillId="15" borderId="35" xfId="0" applyFont="1" applyFill="1" applyBorder="1" applyAlignment="1">
      <alignment vertical="top" wrapText="1"/>
    </xf>
    <xf numFmtId="1" fontId="5" fillId="0" borderId="36" xfId="0" applyNumberFormat="1" applyFont="1" applyFill="1" applyBorder="1" applyAlignment="1" applyProtection="1">
      <alignment vertical="top" wrapText="1"/>
      <protection locked="0"/>
    </xf>
    <xf numFmtId="38" fontId="5" fillId="0" borderId="36" xfId="0" applyNumberFormat="1" applyFont="1" applyFill="1" applyBorder="1" applyAlignment="1" applyProtection="1">
      <alignment vertical="top" wrapText="1"/>
      <protection locked="0"/>
    </xf>
    <xf numFmtId="49" fontId="21" fillId="13" borderId="37" xfId="0" applyNumberFormat="1" applyFont="1" applyFill="1" applyBorder="1" applyAlignment="1">
      <alignment horizontal="center" vertical="top" wrapText="1"/>
    </xf>
    <xf numFmtId="0" fontId="21" fillId="13" borderId="37" xfId="0" applyNumberFormat="1" applyFont="1" applyFill="1" applyBorder="1" applyAlignment="1">
      <alignment horizontal="center" vertical="top" wrapText="1"/>
    </xf>
    <xf numFmtId="49" fontId="21" fillId="14" borderId="42" xfId="0" applyNumberFormat="1" applyFont="1" applyFill="1" applyBorder="1" applyAlignment="1">
      <alignment horizontal="center" vertical="top" wrapText="1"/>
    </xf>
    <xf numFmtId="0" fontId="21" fillId="14" borderId="42" xfId="0" applyNumberFormat="1" applyFont="1" applyFill="1" applyBorder="1" applyAlignment="1">
      <alignment horizontal="center" vertical="top" wrapText="1"/>
    </xf>
    <xf numFmtId="49" fontId="21" fillId="15" borderId="45" xfId="0" applyNumberFormat="1" applyFont="1" applyFill="1" applyBorder="1" applyAlignment="1">
      <alignment horizontal="center" vertical="top" wrapText="1"/>
    </xf>
    <xf numFmtId="0" fontId="21" fillId="15" borderId="45" xfId="0" applyNumberFormat="1" applyFont="1" applyFill="1" applyBorder="1" applyAlignment="1">
      <alignment horizontal="center" vertical="top" wrapText="1"/>
    </xf>
    <xf numFmtId="0" fontId="18" fillId="2" borderId="8" xfId="0" applyFont="1" applyFill="1" applyBorder="1" applyAlignment="1" applyProtection="1">
      <alignment vertical="center"/>
      <protection locked="0"/>
    </xf>
    <xf numFmtId="0" fontId="18" fillId="2" borderId="13" xfId="0" applyFont="1" applyFill="1" applyBorder="1" applyAlignment="1" applyProtection="1">
      <alignment vertical="center"/>
      <protection locked="0"/>
    </xf>
    <xf numFmtId="0" fontId="18" fillId="2" borderId="17" xfId="0" applyFont="1" applyFill="1" applyBorder="1" applyAlignment="1" applyProtection="1">
      <alignment vertical="center"/>
      <protection locked="0"/>
    </xf>
    <xf numFmtId="0" fontId="18" fillId="2" borderId="14" xfId="0" applyFont="1" applyFill="1" applyBorder="1" applyAlignment="1" applyProtection="1">
      <alignment vertical="center"/>
      <protection locked="0"/>
    </xf>
    <xf numFmtId="0" fontId="18" fillId="2" borderId="18" xfId="0" applyFont="1" applyFill="1" applyBorder="1" applyAlignment="1" applyProtection="1">
      <alignment vertical="center"/>
      <protection locked="0"/>
    </xf>
    <xf numFmtId="0" fontId="18" fillId="2" borderId="19" xfId="0" applyFont="1" applyFill="1" applyBorder="1" applyAlignment="1" applyProtection="1">
      <alignment vertical="center"/>
      <protection locked="0"/>
    </xf>
    <xf numFmtId="0" fontId="5" fillId="0" borderId="33" xfId="0" applyNumberFormat="1" applyFont="1" applyBorder="1" applyAlignment="1" applyProtection="1">
      <alignment vertical="top" wrapText="1"/>
      <protection locked="0"/>
    </xf>
    <xf numFmtId="3" fontId="5" fillId="0" borderId="33" xfId="0" applyNumberFormat="1" applyFont="1" applyBorder="1" applyAlignment="1" applyProtection="1">
      <alignment vertical="top" wrapText="1"/>
      <protection locked="0"/>
    </xf>
    <xf numFmtId="0" fontId="18" fillId="2" borderId="8" xfId="0" applyFont="1" applyFill="1" applyBorder="1" applyAlignment="1" applyProtection="1">
      <alignment horizontal="center" vertical="center"/>
      <protection locked="0"/>
    </xf>
    <xf numFmtId="0" fontId="18" fillId="0" borderId="17" xfId="0" applyFont="1" applyFill="1" applyBorder="1" applyAlignment="1" applyProtection="1">
      <alignment vertical="center"/>
      <protection locked="0"/>
    </xf>
    <xf numFmtId="0" fontId="18" fillId="0" borderId="14" xfId="0" applyFont="1" applyFill="1" applyBorder="1" applyAlignment="1" applyProtection="1">
      <alignment vertical="center"/>
      <protection locked="0"/>
    </xf>
    <xf numFmtId="0" fontId="18" fillId="0" borderId="8" xfId="0" applyFont="1" applyFill="1" applyBorder="1" applyAlignment="1" applyProtection="1">
      <alignment vertical="center"/>
      <protection locked="0"/>
    </xf>
    <xf numFmtId="0" fontId="18" fillId="0" borderId="13" xfId="0" applyFont="1" applyFill="1" applyBorder="1" applyAlignment="1" applyProtection="1">
      <alignment vertical="center"/>
      <protection locked="0"/>
    </xf>
    <xf numFmtId="0" fontId="18" fillId="0" borderId="13" xfId="0" applyFont="1" applyFill="1" applyBorder="1" applyAlignment="1" applyProtection="1">
      <alignment horizontal="left" vertical="center"/>
      <protection locked="0"/>
    </xf>
    <xf numFmtId="0" fontId="18" fillId="0" borderId="18" xfId="0" applyFont="1" applyFill="1" applyBorder="1" applyAlignment="1" applyProtection="1">
      <alignment vertical="center"/>
      <protection locked="0"/>
    </xf>
    <xf numFmtId="0" fontId="18" fillId="0" borderId="8" xfId="0" applyFont="1" applyFill="1" applyBorder="1" applyAlignment="1" applyProtection="1">
      <alignment horizontal="left" vertical="center"/>
      <protection locked="0"/>
    </xf>
    <xf numFmtId="0" fontId="18" fillId="0" borderId="19" xfId="0" applyFont="1" applyFill="1" applyBorder="1" applyAlignment="1" applyProtection="1">
      <alignment vertical="center"/>
      <protection locked="0"/>
    </xf>
    <xf numFmtId="0" fontId="0" fillId="19" borderId="0" xfId="0" applyFill="1"/>
    <xf numFmtId="0" fontId="0" fillId="19" borderId="0" xfId="0" applyFill="1" applyAlignment="1"/>
    <xf numFmtId="0" fontId="24" fillId="19" borderId="0" xfId="0" applyFont="1" applyFill="1"/>
    <xf numFmtId="0" fontId="4" fillId="11" borderId="48" xfId="0" applyFont="1" applyFill="1" applyBorder="1" applyAlignment="1" applyProtection="1">
      <alignment vertical="top"/>
      <protection locked="0"/>
    </xf>
    <xf numFmtId="0" fontId="0" fillId="0" borderId="22" xfId="0" applyBorder="1"/>
    <xf numFmtId="0" fontId="0" fillId="0" borderId="14" xfId="0" applyBorder="1"/>
    <xf numFmtId="49" fontId="21" fillId="13" borderId="49" xfId="0" applyNumberFormat="1" applyFont="1" applyFill="1" applyBorder="1" applyAlignment="1">
      <alignment vertical="top" wrapText="1"/>
    </xf>
    <xf numFmtId="0" fontId="0" fillId="0" borderId="13" xfId="0" applyBorder="1"/>
    <xf numFmtId="0" fontId="22" fillId="16" borderId="50" xfId="0" applyFont="1" applyFill="1" applyBorder="1" applyAlignment="1">
      <alignment vertical="top" wrapText="1"/>
    </xf>
    <xf numFmtId="0" fontId="22" fillId="18" borderId="50" xfId="0" applyFont="1" applyFill="1" applyBorder="1" applyAlignment="1">
      <alignment vertical="top" wrapText="1"/>
    </xf>
    <xf numFmtId="0" fontId="22" fillId="18" borderId="51" xfId="0" applyFont="1" applyFill="1" applyBorder="1" applyAlignment="1">
      <alignment vertical="top" wrapText="1"/>
    </xf>
    <xf numFmtId="0" fontId="5" fillId="0" borderId="52" xfId="0" applyFont="1" applyBorder="1" applyAlignment="1">
      <alignment vertical="top" wrapText="1"/>
    </xf>
    <xf numFmtId="0" fontId="5" fillId="0" borderId="0" xfId="0" applyFont="1" applyBorder="1" applyAlignment="1">
      <alignment vertical="top" wrapText="1"/>
    </xf>
    <xf numFmtId="49" fontId="21" fillId="14" borderId="53" xfId="0" applyNumberFormat="1" applyFont="1" applyFill="1" applyBorder="1" applyAlignment="1">
      <alignment vertical="top" wrapText="1"/>
    </xf>
    <xf numFmtId="0" fontId="22" fillId="18" borderId="54" xfId="0" applyFont="1" applyFill="1" applyBorder="1" applyAlignment="1">
      <alignment vertical="top" wrapText="1"/>
    </xf>
    <xf numFmtId="49" fontId="21" fillId="15" borderId="55" xfId="0" applyNumberFormat="1" applyFont="1" applyFill="1" applyBorder="1" applyAlignment="1">
      <alignment vertical="top" wrapText="1"/>
    </xf>
    <xf numFmtId="0" fontId="22" fillId="18" borderId="56" xfId="0" applyFont="1" applyFill="1" applyBorder="1" applyAlignment="1">
      <alignment vertical="top" wrapText="1"/>
    </xf>
    <xf numFmtId="0" fontId="0" fillId="0" borderId="57" xfId="0" applyBorder="1"/>
    <xf numFmtId="0" fontId="0" fillId="0" borderId="20" xfId="0" applyBorder="1"/>
    <xf numFmtId="0" fontId="0" fillId="0" borderId="19" xfId="0" applyBorder="1"/>
    <xf numFmtId="0" fontId="0" fillId="0" borderId="52" xfId="0" applyBorder="1"/>
    <xf numFmtId="0" fontId="0" fillId="0" borderId="0" xfId="0" applyBorder="1"/>
    <xf numFmtId="49" fontId="21" fillId="13" borderId="58" xfId="0" applyNumberFormat="1" applyFont="1" applyFill="1" applyBorder="1" applyAlignment="1" applyProtection="1">
      <alignment horizontal="center" vertical="top" wrapText="1"/>
    </xf>
    <xf numFmtId="0" fontId="21" fillId="13" borderId="59" xfId="0" applyNumberFormat="1" applyFont="1" applyFill="1" applyBorder="1" applyAlignment="1" applyProtection="1">
      <alignment horizontal="center" vertical="top" wrapText="1"/>
    </xf>
    <xf numFmtId="0" fontId="21" fillId="13" borderId="60" xfId="0" applyNumberFormat="1" applyFont="1" applyFill="1" applyBorder="1" applyAlignment="1" applyProtection="1">
      <alignment horizontal="center" vertical="top" wrapText="1"/>
    </xf>
    <xf numFmtId="49" fontId="6" fillId="13" borderId="66" xfId="0" applyNumberFormat="1" applyFont="1" applyFill="1" applyBorder="1" applyAlignment="1" applyProtection="1">
      <alignment horizontal="left" vertical="top" wrapText="1"/>
    </xf>
    <xf numFmtId="0" fontId="22" fillId="16" borderId="67" xfId="0" applyFont="1" applyFill="1" applyBorder="1" applyAlignment="1" applyProtection="1">
      <alignment vertical="top" wrapText="1"/>
    </xf>
    <xf numFmtId="0" fontId="22" fillId="18" borderId="68" xfId="0" applyFont="1" applyFill="1" applyBorder="1" applyAlignment="1" applyProtection="1">
      <alignment vertical="top" wrapText="1"/>
    </xf>
    <xf numFmtId="0" fontId="4" fillId="0" borderId="0" xfId="0" applyFont="1"/>
    <xf numFmtId="0" fontId="25" fillId="0" borderId="0" xfId="0" applyFont="1"/>
    <xf numFmtId="0" fontId="21" fillId="13" borderId="69" xfId="0" applyFont="1" applyFill="1" applyBorder="1" applyAlignment="1">
      <alignment vertical="top" wrapText="1"/>
    </xf>
    <xf numFmtId="0" fontId="5" fillId="0" borderId="75" xfId="0" applyNumberFormat="1" applyFont="1" applyBorder="1" applyAlignment="1" applyProtection="1">
      <alignment vertical="top" wrapText="1"/>
      <protection locked="0"/>
    </xf>
    <xf numFmtId="3" fontId="5" fillId="0" borderId="76" xfId="0" applyNumberFormat="1" applyFont="1" applyBorder="1" applyAlignment="1" applyProtection="1">
      <alignment vertical="top" wrapText="1"/>
      <protection locked="0"/>
    </xf>
    <xf numFmtId="0" fontId="5" fillId="0" borderId="77" xfId="0" applyNumberFormat="1" applyFont="1" applyBorder="1" applyAlignment="1" applyProtection="1">
      <alignment vertical="top" wrapText="1"/>
      <protection locked="0"/>
    </xf>
    <xf numFmtId="3" fontId="5" fillId="0" borderId="78" xfId="0" applyNumberFormat="1" applyFont="1" applyBorder="1" applyAlignment="1" applyProtection="1">
      <alignment vertical="top" wrapText="1"/>
      <protection locked="0"/>
    </xf>
    <xf numFmtId="0" fontId="5" fillId="0" borderId="78" xfId="0" applyNumberFormat="1" applyFont="1" applyBorder="1" applyAlignment="1" applyProtection="1">
      <alignment vertical="top" wrapText="1"/>
      <protection locked="0"/>
    </xf>
    <xf numFmtId="3" fontId="5" fillId="0" borderId="79" xfId="0" applyNumberFormat="1" applyFont="1" applyBorder="1" applyAlignment="1" applyProtection="1">
      <alignment vertical="top" wrapText="1"/>
      <protection locked="0"/>
    </xf>
    <xf numFmtId="0" fontId="5" fillId="0" borderId="81" xfId="0" applyFont="1" applyBorder="1" applyAlignment="1" applyProtection="1">
      <alignment vertical="top" wrapText="1"/>
      <protection locked="0"/>
    </xf>
    <xf numFmtId="0" fontId="5" fillId="0" borderId="82" xfId="0" applyFont="1" applyBorder="1" applyAlignment="1" applyProtection="1">
      <alignment vertical="top" wrapText="1"/>
      <protection locked="0"/>
    </xf>
    <xf numFmtId="0" fontId="5" fillId="11" borderId="85" xfId="0" applyFont="1" applyFill="1" applyBorder="1" applyAlignment="1" applyProtection="1">
      <alignment vertical="top" wrapText="1"/>
      <protection locked="0"/>
    </xf>
    <xf numFmtId="38" fontId="5" fillId="0" borderId="86" xfId="0" applyNumberFormat="1" applyFont="1" applyFill="1" applyBorder="1" applyAlignment="1" applyProtection="1">
      <alignment vertical="top" wrapText="1"/>
      <protection locked="0"/>
    </xf>
    <xf numFmtId="0" fontId="5" fillId="11" borderId="87" xfId="0" applyFont="1" applyFill="1" applyBorder="1" applyAlignment="1" applyProtection="1">
      <alignment vertical="top" wrapText="1"/>
      <protection locked="0"/>
    </xf>
    <xf numFmtId="1" fontId="5" fillId="0" borderId="88" xfId="0" applyNumberFormat="1" applyFont="1" applyFill="1" applyBorder="1" applyAlignment="1" applyProtection="1">
      <alignment vertical="top" wrapText="1"/>
      <protection locked="0"/>
    </xf>
    <xf numFmtId="38" fontId="5" fillId="0" borderId="88" xfId="0" applyNumberFormat="1" applyFont="1" applyFill="1" applyBorder="1" applyAlignment="1" applyProtection="1">
      <alignment vertical="top" wrapText="1"/>
      <protection locked="0"/>
    </xf>
    <xf numFmtId="38" fontId="5" fillId="0" borderId="89" xfId="0" applyNumberFormat="1" applyFont="1" applyFill="1" applyBorder="1" applyAlignment="1" applyProtection="1">
      <alignment vertical="top" wrapText="1"/>
      <protection locked="0"/>
    </xf>
    <xf numFmtId="0" fontId="21" fillId="13" borderId="92" xfId="0" applyNumberFormat="1" applyFont="1" applyFill="1" applyBorder="1" applyAlignment="1">
      <alignment horizontal="center" vertical="top" wrapText="1"/>
    </xf>
    <xf numFmtId="0" fontId="5" fillId="0" borderId="72" xfId="0" applyNumberFormat="1" applyFont="1" applyBorder="1" applyAlignment="1" applyProtection="1">
      <alignment vertical="top" wrapText="1"/>
      <protection locked="0"/>
    </xf>
    <xf numFmtId="3" fontId="5" fillId="0" borderId="73" xfId="0" applyNumberFormat="1" applyFont="1" applyBorder="1" applyAlignment="1" applyProtection="1">
      <alignment vertical="top" wrapText="1"/>
      <protection locked="0"/>
    </xf>
    <xf numFmtId="0" fontId="5" fillId="0" borderId="73" xfId="0" applyNumberFormat="1" applyFont="1" applyBorder="1" applyAlignment="1" applyProtection="1">
      <alignment vertical="top" wrapText="1"/>
      <protection locked="0"/>
    </xf>
    <xf numFmtId="3" fontId="5" fillId="0" borderId="74" xfId="0" applyNumberFormat="1" applyFont="1" applyBorder="1" applyAlignment="1" applyProtection="1">
      <alignment vertical="top" wrapText="1"/>
      <protection locked="0"/>
    </xf>
    <xf numFmtId="0" fontId="5" fillId="0" borderId="80" xfId="0" applyFont="1" applyBorder="1" applyAlignment="1" applyProtection="1">
      <alignment vertical="top" wrapText="1"/>
      <protection locked="0"/>
    </xf>
    <xf numFmtId="0" fontId="21" fillId="12" borderId="102" xfId="0" applyFont="1" applyFill="1" applyBorder="1" applyAlignment="1">
      <alignment horizontal="left" vertical="top" wrapText="1"/>
    </xf>
    <xf numFmtId="0" fontId="21" fillId="12" borderId="103" xfId="0" applyFont="1" applyFill="1" applyBorder="1" applyAlignment="1">
      <alignment horizontal="left" vertical="top" wrapText="1"/>
    </xf>
    <xf numFmtId="0" fontId="5" fillId="11" borderId="83" xfId="0" applyFont="1" applyFill="1" applyBorder="1" applyAlignment="1" applyProtection="1">
      <alignment vertical="top" wrapText="1"/>
      <protection locked="0"/>
    </xf>
    <xf numFmtId="1" fontId="5" fillId="0" borderId="84" xfId="0" applyNumberFormat="1" applyFont="1" applyFill="1" applyBorder="1" applyAlignment="1" applyProtection="1">
      <alignment vertical="top" wrapText="1"/>
      <protection locked="0"/>
    </xf>
    <xf numFmtId="38" fontId="5" fillId="0" borderId="84" xfId="0" applyNumberFormat="1" applyFont="1" applyFill="1" applyBorder="1" applyAlignment="1" applyProtection="1">
      <alignment vertical="top" wrapText="1"/>
      <protection locked="0"/>
    </xf>
    <xf numFmtId="38" fontId="5" fillId="0" borderId="90" xfId="0" applyNumberFormat="1" applyFont="1" applyFill="1" applyBorder="1" applyAlignment="1" applyProtection="1">
      <alignment vertical="top" wrapText="1"/>
      <protection locked="0"/>
    </xf>
    <xf numFmtId="0" fontId="21" fillId="14" borderId="105" xfId="0" applyNumberFormat="1" applyFont="1" applyFill="1" applyBorder="1" applyAlignment="1">
      <alignment horizontal="center" vertical="top" wrapText="1"/>
    </xf>
    <xf numFmtId="0" fontId="21" fillId="15" borderId="108" xfId="0" applyNumberFormat="1" applyFont="1" applyFill="1" applyBorder="1" applyAlignment="1">
      <alignment horizontal="center" vertical="top" wrapText="1"/>
    </xf>
    <xf numFmtId="0" fontId="4" fillId="0" borderId="111" xfId="0" applyFont="1" applyBorder="1"/>
    <xf numFmtId="0" fontId="23" fillId="0" borderId="57" xfId="0" applyFont="1" applyBorder="1"/>
    <xf numFmtId="0" fontId="4" fillId="0" borderId="0" xfId="0" applyFont="1" applyBorder="1"/>
    <xf numFmtId="0" fontId="5" fillId="20" borderId="33" xfId="0" applyFont="1" applyFill="1" applyBorder="1" applyAlignment="1">
      <alignment vertical="top" wrapText="1"/>
    </xf>
    <xf numFmtId="0" fontId="5" fillId="20" borderId="70" xfId="0" applyNumberFormat="1" applyFont="1" applyFill="1" applyBorder="1" applyAlignment="1">
      <alignment vertical="top" wrapText="1"/>
    </xf>
    <xf numFmtId="3" fontId="5" fillId="20" borderId="33" xfId="0" applyNumberFormat="1" applyFont="1" applyFill="1" applyBorder="1" applyAlignment="1">
      <alignment vertical="top" wrapText="1"/>
    </xf>
    <xf numFmtId="38" fontId="5" fillId="20" borderId="2" xfId="0" applyNumberFormat="1" applyFont="1" applyFill="1" applyBorder="1" applyAlignment="1">
      <alignment vertical="top" wrapText="1"/>
    </xf>
    <xf numFmtId="164" fontId="23" fillId="0" borderId="71" xfId="0" applyNumberFormat="1" applyFont="1" applyBorder="1"/>
    <xf numFmtId="166" fontId="5" fillId="4" borderId="38" xfId="0" applyNumberFormat="1" applyFont="1" applyFill="1" applyBorder="1" applyAlignment="1">
      <alignment vertical="top" wrapText="1"/>
    </xf>
    <xf numFmtId="166" fontId="5" fillId="4" borderId="38" xfId="0" applyNumberFormat="1" applyFont="1" applyFill="1" applyBorder="1" applyAlignment="1" applyProtection="1">
      <alignment vertical="top" wrapText="1"/>
      <protection locked="0"/>
    </xf>
    <xf numFmtId="166" fontId="22" fillId="4" borderId="38" xfId="0" applyNumberFormat="1" applyFont="1" applyFill="1" applyBorder="1" applyAlignment="1">
      <alignment vertical="top" wrapText="1"/>
    </xf>
    <xf numFmtId="166" fontId="5" fillId="21" borderId="38" xfId="0" applyNumberFormat="1" applyFont="1" applyFill="1" applyBorder="1" applyAlignment="1">
      <alignment vertical="top" wrapText="1"/>
    </xf>
    <xf numFmtId="166" fontId="5" fillId="6" borderId="38" xfId="0" applyNumberFormat="1" applyFont="1" applyFill="1" applyBorder="1" applyAlignment="1">
      <alignment vertical="top" wrapText="1"/>
    </xf>
    <xf numFmtId="166" fontId="22" fillId="4" borderId="40" xfId="0" applyNumberFormat="1" applyFont="1" applyFill="1" applyBorder="1" applyAlignment="1">
      <alignment vertical="top" wrapText="1"/>
    </xf>
    <xf numFmtId="166" fontId="22" fillId="6" borderId="40" xfId="0" applyNumberFormat="1" applyFont="1" applyFill="1" applyBorder="1" applyAlignment="1">
      <alignment vertical="top" wrapText="1"/>
    </xf>
    <xf numFmtId="166" fontId="22" fillId="6" borderId="41" xfId="0" applyNumberFormat="1" applyFont="1" applyFill="1" applyBorder="1" applyAlignment="1">
      <alignment vertical="top" wrapText="1"/>
    </xf>
    <xf numFmtId="166" fontId="22" fillId="4" borderId="46" xfId="0" applyNumberFormat="1" applyFont="1" applyFill="1" applyBorder="1" applyAlignment="1">
      <alignment vertical="top" wrapText="1"/>
    </xf>
    <xf numFmtId="166" fontId="22" fillId="6" borderId="46" xfId="0" applyNumberFormat="1" applyFont="1" applyFill="1" applyBorder="1" applyAlignment="1">
      <alignment vertical="top" wrapText="1"/>
    </xf>
    <xf numFmtId="166" fontId="22" fillId="6" borderId="47" xfId="0" applyNumberFormat="1" applyFont="1" applyFill="1" applyBorder="1" applyAlignment="1">
      <alignment vertical="top" wrapText="1"/>
    </xf>
    <xf numFmtId="166" fontId="22" fillId="4" borderId="43" xfId="0" applyNumberFormat="1" applyFont="1" applyFill="1" applyBorder="1" applyAlignment="1">
      <alignment vertical="top" wrapText="1"/>
    </xf>
    <xf numFmtId="166" fontId="22" fillId="6" borderId="43" xfId="0" applyNumberFormat="1" applyFont="1" applyFill="1" applyBorder="1" applyAlignment="1">
      <alignment vertical="top" wrapText="1"/>
    </xf>
    <xf numFmtId="166" fontId="22" fillId="6" borderId="44" xfId="0" applyNumberFormat="1" applyFont="1" applyFill="1" applyBorder="1" applyAlignment="1">
      <alignment vertical="top" wrapText="1"/>
    </xf>
    <xf numFmtId="166" fontId="5" fillId="4" borderId="61" xfId="0" applyNumberFormat="1" applyFont="1" applyFill="1" applyBorder="1" applyAlignment="1" applyProtection="1">
      <alignment vertical="top" wrapText="1"/>
    </xf>
    <xf numFmtId="166" fontId="5" fillId="4" borderId="62" xfId="0" applyNumberFormat="1" applyFont="1" applyFill="1" applyBorder="1" applyAlignment="1" applyProtection="1">
      <alignment vertical="top" wrapText="1"/>
    </xf>
    <xf numFmtId="166" fontId="22" fillId="4" borderId="63" xfId="0" applyNumberFormat="1" applyFont="1" applyFill="1" applyBorder="1" applyAlignment="1" applyProtection="1">
      <alignment vertical="top" wrapText="1"/>
    </xf>
    <xf numFmtId="166" fontId="22" fillId="4" borderId="64" xfId="0" applyNumberFormat="1" applyFont="1" applyFill="1" applyBorder="1" applyAlignment="1" applyProtection="1">
      <alignment vertical="top" wrapText="1"/>
    </xf>
    <xf numFmtId="166" fontId="22" fillId="4" borderId="65" xfId="0" applyNumberFormat="1" applyFont="1" applyFill="1" applyBorder="1" applyAlignment="1" applyProtection="1">
      <alignment vertical="top" wrapText="1"/>
    </xf>
    <xf numFmtId="166" fontId="5" fillId="22" borderId="91" xfId="0" applyNumberFormat="1" applyFont="1" applyFill="1" applyBorder="1" applyAlignment="1">
      <alignment vertical="top" wrapText="1"/>
    </xf>
    <xf numFmtId="166" fontId="5" fillId="0" borderId="95" xfId="0" applyNumberFormat="1" applyFont="1" applyBorder="1" applyAlignment="1" applyProtection="1">
      <alignment vertical="top" wrapText="1"/>
      <protection locked="0"/>
    </xf>
    <xf numFmtId="166" fontId="5" fillId="0" borderId="96" xfId="0" applyNumberFormat="1" applyFont="1" applyBorder="1" applyAlignment="1" applyProtection="1">
      <alignment vertical="top" wrapText="1"/>
      <protection locked="0"/>
    </xf>
    <xf numFmtId="166" fontId="5" fillId="0" borderId="97" xfId="0" applyNumberFormat="1" applyFont="1" applyBorder="1" applyAlignment="1" applyProtection="1">
      <alignment vertical="top" wrapText="1"/>
      <protection locked="0"/>
    </xf>
    <xf numFmtId="166" fontId="5" fillId="0" borderId="98" xfId="0" applyNumberFormat="1" applyFont="1" applyBorder="1" applyAlignment="1" applyProtection="1">
      <alignment vertical="top" wrapText="1"/>
      <protection locked="0"/>
    </xf>
    <xf numFmtId="166" fontId="5" fillId="0" borderId="38" xfId="0" applyNumberFormat="1" applyFont="1" applyBorder="1" applyAlignment="1" applyProtection="1">
      <alignment vertical="top" wrapText="1"/>
      <protection locked="0"/>
    </xf>
    <xf numFmtId="166" fontId="5" fillId="0" borderId="99" xfId="0" applyNumberFormat="1" applyFont="1" applyBorder="1" applyAlignment="1" applyProtection="1">
      <alignment vertical="top" wrapText="1"/>
      <protection locked="0"/>
    </xf>
    <xf numFmtId="166" fontId="5" fillId="0" borderId="100" xfId="0" applyNumberFormat="1" applyFont="1" applyBorder="1" applyAlignment="1" applyProtection="1">
      <alignment vertical="top" wrapText="1"/>
      <protection locked="0"/>
    </xf>
    <xf numFmtId="166" fontId="5" fillId="0" borderId="101" xfId="0" applyNumberFormat="1" applyFont="1" applyBorder="1" applyAlignment="1" applyProtection="1">
      <alignment vertical="top" wrapText="1"/>
      <protection locked="0"/>
    </xf>
    <xf numFmtId="166" fontId="5" fillId="0" borderId="79" xfId="0" applyNumberFormat="1" applyFont="1" applyBorder="1" applyAlignment="1" applyProtection="1">
      <alignment vertical="top" wrapText="1"/>
      <protection locked="0"/>
    </xf>
    <xf numFmtId="166" fontId="22" fillId="22" borderId="38" xfId="0" applyNumberFormat="1" applyFont="1" applyFill="1" applyBorder="1" applyAlignment="1">
      <alignment vertical="top" wrapText="1"/>
    </xf>
    <xf numFmtId="166" fontId="5" fillId="21" borderId="93" xfId="0" applyNumberFormat="1" applyFont="1" applyFill="1" applyBorder="1" applyAlignment="1">
      <alignment vertical="top" wrapText="1"/>
    </xf>
    <xf numFmtId="166" fontId="5" fillId="21" borderId="94" xfId="0" applyNumberFormat="1" applyFont="1" applyFill="1" applyBorder="1" applyAlignment="1">
      <alignment vertical="top" wrapText="1"/>
    </xf>
    <xf numFmtId="166" fontId="5" fillId="21" borderId="39" xfId="0" applyNumberFormat="1" applyFont="1" applyFill="1" applyBorder="1" applyAlignment="1">
      <alignment vertical="top" wrapText="1"/>
    </xf>
    <xf numFmtId="166" fontId="22" fillId="22" borderId="40" xfId="0" applyNumberFormat="1" applyFont="1" applyFill="1" applyBorder="1" applyAlignment="1">
      <alignment vertical="top" wrapText="1"/>
    </xf>
    <xf numFmtId="166" fontId="22" fillId="21" borderId="40" xfId="0" applyNumberFormat="1" applyFont="1" applyFill="1" applyBorder="1" applyAlignment="1">
      <alignment vertical="top" wrapText="1"/>
    </xf>
    <xf numFmtId="166" fontId="22" fillId="21" borderId="41" xfId="0" applyNumberFormat="1" applyFont="1" applyFill="1" applyBorder="1" applyAlignment="1">
      <alignment vertical="top" wrapText="1"/>
    </xf>
    <xf numFmtId="166" fontId="5" fillId="23" borderId="91" xfId="0" applyNumberFormat="1" applyFont="1" applyFill="1" applyBorder="1" applyAlignment="1">
      <alignment vertical="top" wrapText="1"/>
    </xf>
    <xf numFmtId="166" fontId="22" fillId="23" borderId="43" xfId="0" applyNumberFormat="1" applyFont="1" applyFill="1" applyBorder="1" applyAlignment="1">
      <alignment vertical="top" wrapText="1"/>
    </xf>
    <xf numFmtId="166" fontId="22" fillId="21" borderId="106" xfId="0" applyNumberFormat="1" applyFont="1" applyFill="1" applyBorder="1" applyAlignment="1">
      <alignment vertical="top" wrapText="1"/>
    </xf>
    <xf numFmtId="166" fontId="22" fillId="21" borderId="107" xfId="0" applyNumberFormat="1" applyFont="1" applyFill="1" applyBorder="1" applyAlignment="1">
      <alignment vertical="top" wrapText="1"/>
    </xf>
    <xf numFmtId="166" fontId="22" fillId="23" borderId="46" xfId="0" applyNumberFormat="1" applyFont="1" applyFill="1" applyBorder="1" applyAlignment="1">
      <alignment vertical="top" wrapText="1"/>
    </xf>
    <xf numFmtId="166" fontId="22" fillId="21" borderId="109" xfId="0" applyNumberFormat="1" applyFont="1" applyFill="1" applyBorder="1" applyAlignment="1">
      <alignment vertical="top" wrapText="1"/>
    </xf>
    <xf numFmtId="166" fontId="22" fillId="21" borderId="110" xfId="0" applyNumberFormat="1" applyFont="1" applyFill="1" applyBorder="1" applyAlignment="1">
      <alignment vertical="top" wrapText="1"/>
    </xf>
    <xf numFmtId="0" fontId="27" fillId="2" borderId="12" xfId="0" applyFont="1" applyFill="1" applyBorder="1" applyAlignment="1" applyProtection="1">
      <alignment vertical="center"/>
      <protection locked="0"/>
    </xf>
    <xf numFmtId="0" fontId="0" fillId="6" borderId="12" xfId="0" applyFill="1" applyBorder="1" applyAlignment="1" applyProtection="1">
      <alignment vertical="center"/>
      <protection locked="0"/>
    </xf>
    <xf numFmtId="0" fontId="13" fillId="6" borderId="12" xfId="0" applyFont="1" applyFill="1" applyBorder="1" applyAlignment="1" applyProtection="1">
      <alignment vertical="center"/>
      <protection locked="0"/>
    </xf>
    <xf numFmtId="0" fontId="26" fillId="6" borderId="12" xfId="0" applyFont="1" applyFill="1" applyBorder="1" applyAlignment="1" applyProtection="1">
      <alignment vertical="center"/>
      <protection locked="0"/>
    </xf>
    <xf numFmtId="164" fontId="0" fillId="6" borderId="12" xfId="0" applyNumberFormat="1" applyFill="1" applyBorder="1" applyAlignment="1" applyProtection="1">
      <alignment horizontal="left" vertical="center"/>
      <protection locked="0"/>
    </xf>
    <xf numFmtId="0" fontId="14" fillId="4" borderId="12" xfId="0" applyFont="1" applyFill="1" applyBorder="1" applyAlignment="1" applyProtection="1">
      <alignment vertical="center"/>
      <protection locked="0"/>
    </xf>
    <xf numFmtId="0" fontId="20" fillId="6" borderId="12" xfId="0" applyFont="1" applyFill="1" applyBorder="1" applyAlignment="1" applyProtection="1">
      <alignment vertical="center"/>
      <protection locked="0"/>
    </xf>
    <xf numFmtId="0" fontId="28" fillId="2" borderId="0" xfId="0" applyFont="1" applyFill="1" applyAlignment="1" applyProtection="1">
      <alignment vertical="center"/>
      <protection locked="0"/>
    </xf>
    <xf numFmtId="0" fontId="27" fillId="2" borderId="0" xfId="0" applyFont="1" applyFill="1" applyAlignment="1" applyProtection="1">
      <alignment vertical="center"/>
      <protection locked="0"/>
    </xf>
    <xf numFmtId="0" fontId="17" fillId="0" borderId="9" xfId="0" applyFont="1" applyFill="1" applyBorder="1" applyAlignment="1" applyProtection="1">
      <alignment horizontal="left" vertical="center"/>
      <protection locked="0"/>
    </xf>
    <xf numFmtId="0" fontId="27" fillId="2" borderId="4" xfId="0" applyFont="1" applyFill="1" applyBorder="1" applyAlignment="1" applyProtection="1">
      <alignment vertical="center"/>
      <protection locked="0"/>
    </xf>
    <xf numFmtId="0" fontId="13" fillId="4" borderId="12" xfId="0" applyFont="1" applyFill="1" applyBorder="1" applyAlignment="1" applyProtection="1">
      <alignment vertical="center"/>
      <protection locked="0"/>
    </xf>
    <xf numFmtId="0" fontId="13" fillId="4" borderId="0" xfId="0" applyFont="1" applyFill="1" applyAlignment="1" applyProtection="1">
      <alignment vertical="center"/>
      <protection locked="0"/>
    </xf>
    <xf numFmtId="0" fontId="31" fillId="2" borderId="12" xfId="0" applyFont="1" applyFill="1" applyBorder="1" applyAlignment="1" applyProtection="1">
      <alignment vertical="center"/>
      <protection locked="0"/>
    </xf>
    <xf numFmtId="0" fontId="17" fillId="0" borderId="12" xfId="0" applyFont="1" applyFill="1" applyBorder="1" applyAlignment="1" applyProtection="1">
      <alignment horizontal="left" vertical="center"/>
      <protection locked="0"/>
    </xf>
    <xf numFmtId="0" fontId="18" fillId="2" borderId="72" xfId="0" applyFont="1" applyFill="1" applyBorder="1" applyAlignment="1" applyProtection="1">
      <alignment vertical="center"/>
      <protection locked="0"/>
    </xf>
    <xf numFmtId="0" fontId="18" fillId="2" borderId="112" xfId="0" applyFont="1" applyFill="1" applyBorder="1" applyAlignment="1" applyProtection="1">
      <alignment vertical="center"/>
      <protection locked="0"/>
    </xf>
    <xf numFmtId="0" fontId="18" fillId="2" borderId="113" xfId="0" applyFont="1" applyFill="1" applyBorder="1" applyAlignment="1" applyProtection="1">
      <alignment vertical="center"/>
      <protection locked="0"/>
    </xf>
    <xf numFmtId="0" fontId="18" fillId="2" borderId="114" xfId="0" applyFont="1" applyFill="1" applyBorder="1" applyAlignment="1" applyProtection="1">
      <alignment vertical="center"/>
      <protection locked="0"/>
    </xf>
    <xf numFmtId="0" fontId="18" fillId="2" borderId="113" xfId="0" applyFont="1" applyFill="1" applyBorder="1" applyAlignment="1" applyProtection="1">
      <alignment horizontal="left" vertical="center"/>
      <protection locked="0"/>
    </xf>
    <xf numFmtId="0" fontId="18" fillId="2" borderId="114" xfId="0" applyFont="1" applyFill="1" applyBorder="1" applyAlignment="1" applyProtection="1">
      <alignment horizontal="left" vertical="center"/>
      <protection locked="0"/>
    </xf>
    <xf numFmtId="0" fontId="18" fillId="2" borderId="115" xfId="0" applyFont="1" applyFill="1" applyBorder="1" applyAlignment="1" applyProtection="1">
      <alignment vertical="center"/>
      <protection locked="0"/>
    </xf>
    <xf numFmtId="0" fontId="18" fillId="2" borderId="116" xfId="0" applyFont="1" applyFill="1" applyBorder="1" applyAlignment="1" applyProtection="1">
      <alignment vertical="center"/>
      <protection locked="0"/>
    </xf>
    <xf numFmtId="0" fontId="18" fillId="0" borderId="117" xfId="0" applyFont="1" applyFill="1" applyBorder="1" applyAlignment="1" applyProtection="1">
      <alignment vertical="center"/>
      <protection locked="0"/>
    </xf>
    <xf numFmtId="0" fontId="18" fillId="0" borderId="80" xfId="0" applyFont="1" applyFill="1" applyBorder="1" applyAlignment="1" applyProtection="1">
      <alignment vertical="center"/>
      <protection locked="0"/>
    </xf>
    <xf numFmtId="0" fontId="18" fillId="0" borderId="118" xfId="0" applyFont="1" applyFill="1" applyBorder="1" applyAlignment="1" applyProtection="1">
      <alignment vertical="center"/>
      <protection locked="0"/>
    </xf>
    <xf numFmtId="0" fontId="18" fillId="0" borderId="119" xfId="0" applyFont="1" applyFill="1" applyBorder="1" applyAlignment="1" applyProtection="1">
      <alignment vertical="center"/>
      <protection locked="0"/>
    </xf>
    <xf numFmtId="0" fontId="18" fillId="2" borderId="115" xfId="0" applyFont="1" applyFill="1" applyBorder="1" applyAlignment="1" applyProtection="1">
      <alignment horizontal="left" vertical="center"/>
      <protection locked="0"/>
    </xf>
    <xf numFmtId="0" fontId="18" fillId="2" borderId="116" xfId="0" applyFont="1" applyFill="1" applyBorder="1" applyAlignment="1" applyProtection="1">
      <alignment horizontal="left" vertical="center"/>
      <protection locked="0"/>
    </xf>
    <xf numFmtId="0" fontId="18" fillId="2" borderId="112" xfId="0" applyFont="1" applyFill="1" applyBorder="1" applyAlignment="1" applyProtection="1">
      <alignment horizontal="left" vertical="center"/>
      <protection locked="0"/>
    </xf>
    <xf numFmtId="0" fontId="13" fillId="4" borderId="0" xfId="0" applyFont="1" applyFill="1" applyBorder="1" applyAlignment="1" applyProtection="1">
      <alignment vertical="center"/>
      <protection locked="0"/>
    </xf>
    <xf numFmtId="14" fontId="30" fillId="0" borderId="71" xfId="0" applyNumberFormat="1" applyFont="1" applyFill="1" applyBorder="1" applyAlignment="1" applyProtection="1">
      <alignment vertical="center"/>
      <protection locked="0"/>
    </xf>
    <xf numFmtId="3" fontId="18" fillId="0" borderId="22" xfId="0" applyNumberFormat="1" applyFont="1" applyFill="1" applyBorder="1" applyAlignment="1" applyProtection="1">
      <alignment vertical="center"/>
      <protection locked="0"/>
    </xf>
    <xf numFmtId="3" fontId="18" fillId="0" borderId="80" xfId="0" applyNumberFormat="1" applyFont="1" applyFill="1" applyBorder="1" applyAlignment="1" applyProtection="1">
      <alignment vertical="center"/>
      <protection locked="0"/>
    </xf>
    <xf numFmtId="3" fontId="18" fillId="0" borderId="118" xfId="0" applyNumberFormat="1" applyFont="1" applyFill="1" applyBorder="1" applyAlignment="1" applyProtection="1">
      <alignment vertical="center"/>
      <protection locked="0"/>
    </xf>
    <xf numFmtId="3" fontId="18" fillId="0" borderId="119" xfId="0" applyNumberFormat="1" applyFont="1" applyFill="1" applyBorder="1" applyAlignment="1" applyProtection="1">
      <alignment vertical="center"/>
      <protection locked="0"/>
    </xf>
    <xf numFmtId="3" fontId="18" fillId="11" borderId="0" xfId="0" applyNumberFormat="1" applyFont="1" applyFill="1" applyBorder="1" applyAlignment="1" applyProtection="1">
      <alignment vertical="center"/>
      <protection locked="0"/>
    </xf>
    <xf numFmtId="0" fontId="18" fillId="0" borderId="12" xfId="0" applyFont="1" applyFill="1" applyBorder="1" applyAlignment="1" applyProtection="1">
      <alignment vertical="center"/>
      <protection locked="0"/>
    </xf>
    <xf numFmtId="3" fontId="18" fillId="4" borderId="22" xfId="0" applyNumberFormat="1" applyFont="1" applyFill="1" applyBorder="1" applyAlignment="1" applyProtection="1">
      <alignment vertical="center"/>
      <protection locked="0"/>
    </xf>
    <xf numFmtId="3" fontId="18" fillId="4" borderId="20" xfId="0" applyNumberFormat="1" applyFont="1" applyFill="1" applyBorder="1" applyAlignment="1" applyProtection="1">
      <alignment vertical="center"/>
      <protection locked="0"/>
    </xf>
    <xf numFmtId="3" fontId="18" fillId="0" borderId="72" xfId="0" applyNumberFormat="1" applyFont="1" applyFill="1" applyBorder="1" applyAlignment="1" applyProtection="1">
      <alignment vertical="center"/>
      <protection locked="0"/>
    </xf>
    <xf numFmtId="3" fontId="18" fillId="0" borderId="124" xfId="0" applyNumberFormat="1" applyFont="1" applyFill="1" applyBorder="1" applyAlignment="1" applyProtection="1">
      <alignment vertical="center"/>
      <protection locked="0"/>
    </xf>
    <xf numFmtId="3" fontId="18" fillId="0" borderId="112" xfId="0" applyNumberFormat="1" applyFont="1" applyFill="1" applyBorder="1" applyAlignment="1" applyProtection="1">
      <alignment vertical="center"/>
      <protection locked="0"/>
    </xf>
    <xf numFmtId="3" fontId="18" fillId="0" borderId="113" xfId="0" applyNumberFormat="1" applyFont="1" applyFill="1" applyBorder="1" applyAlignment="1" applyProtection="1">
      <alignment vertical="center"/>
      <protection locked="0"/>
    </xf>
    <xf numFmtId="3" fontId="18" fillId="0" borderId="114" xfId="0" applyNumberFormat="1" applyFont="1" applyFill="1" applyBorder="1" applyAlignment="1" applyProtection="1">
      <alignment vertical="center"/>
      <protection locked="0"/>
    </xf>
    <xf numFmtId="3" fontId="18" fillId="0" borderId="115" xfId="0" applyNumberFormat="1" applyFont="1" applyFill="1" applyBorder="1" applyAlignment="1" applyProtection="1">
      <alignment vertical="center"/>
      <protection locked="0"/>
    </xf>
    <xf numFmtId="3" fontId="18" fillId="0" borderId="125" xfId="0" applyNumberFormat="1" applyFont="1" applyFill="1" applyBorder="1" applyAlignment="1" applyProtection="1">
      <alignment vertical="center"/>
      <protection locked="0"/>
    </xf>
    <xf numFmtId="3" fontId="18" fillId="0" borderId="116" xfId="0" applyNumberFormat="1" applyFont="1" applyFill="1" applyBorder="1" applyAlignment="1" applyProtection="1">
      <alignment vertical="center"/>
      <protection locked="0"/>
    </xf>
    <xf numFmtId="3" fontId="18" fillId="4" borderId="0" xfId="0" applyNumberFormat="1" applyFont="1" applyFill="1" applyBorder="1" applyAlignment="1" applyProtection="1">
      <alignment vertical="center"/>
      <protection locked="0"/>
    </xf>
    <xf numFmtId="3" fontId="18" fillId="3" borderId="20" xfId="0" applyNumberFormat="1" applyFont="1" applyFill="1" applyBorder="1" applyAlignment="1" applyProtection="1">
      <alignment vertical="center"/>
      <protection locked="0"/>
    </xf>
    <xf numFmtId="0" fontId="18" fillId="2" borderId="22" xfId="0" applyFont="1" applyFill="1" applyBorder="1" applyAlignment="1" applyProtection="1">
      <alignment vertical="center"/>
      <protection locked="0"/>
    </xf>
    <xf numFmtId="0" fontId="18" fillId="2" borderId="20" xfId="0" applyFont="1" applyFill="1" applyBorder="1" applyAlignment="1" applyProtection="1">
      <alignment vertical="center"/>
      <protection locked="0"/>
    </xf>
    <xf numFmtId="0" fontId="17" fillId="0" borderId="10" xfId="0" applyFont="1" applyFill="1" applyBorder="1" applyAlignment="1" applyProtection="1">
      <alignment horizontal="center" vertical="center"/>
      <protection locked="0"/>
    </xf>
    <xf numFmtId="3" fontId="18" fillId="0" borderId="12" xfId="0" applyNumberFormat="1" applyFont="1" applyFill="1" applyBorder="1" applyAlignment="1" applyProtection="1">
      <alignment vertical="center"/>
      <protection locked="0"/>
    </xf>
    <xf numFmtId="3" fontId="18" fillId="2" borderId="72" xfId="0" applyNumberFormat="1" applyFont="1" applyFill="1" applyBorder="1" applyAlignment="1" applyProtection="1">
      <alignment vertical="center"/>
      <protection locked="0"/>
    </xf>
    <xf numFmtId="3" fontId="18" fillId="2" borderId="124" xfId="0" applyNumberFormat="1" applyFont="1" applyFill="1" applyBorder="1" applyAlignment="1" applyProtection="1">
      <alignment vertical="center"/>
      <protection locked="0"/>
    </xf>
    <xf numFmtId="3" fontId="18" fillId="2" borderId="112" xfId="0" applyNumberFormat="1" applyFont="1" applyFill="1" applyBorder="1" applyAlignment="1" applyProtection="1">
      <alignment vertical="center"/>
      <protection locked="0"/>
    </xf>
    <xf numFmtId="3" fontId="18" fillId="2" borderId="113" xfId="0" applyNumberFormat="1" applyFont="1" applyFill="1" applyBorder="1" applyAlignment="1" applyProtection="1">
      <alignment vertical="center"/>
      <protection locked="0"/>
    </xf>
    <xf numFmtId="3" fontId="18" fillId="2" borderId="114" xfId="0" applyNumberFormat="1" applyFont="1" applyFill="1" applyBorder="1" applyAlignment="1" applyProtection="1">
      <alignment vertical="center"/>
      <protection locked="0"/>
    </xf>
    <xf numFmtId="3" fontId="18" fillId="2" borderId="115" xfId="0" applyNumberFormat="1" applyFont="1" applyFill="1" applyBorder="1" applyAlignment="1" applyProtection="1">
      <alignment vertical="center"/>
      <protection locked="0"/>
    </xf>
    <xf numFmtId="3" fontId="18" fillId="2" borderId="125" xfId="0" applyNumberFormat="1" applyFont="1" applyFill="1" applyBorder="1" applyAlignment="1" applyProtection="1">
      <alignment vertical="center"/>
      <protection locked="0"/>
    </xf>
    <xf numFmtId="3" fontId="18" fillId="2" borderId="116" xfId="0" applyNumberFormat="1" applyFont="1" applyFill="1" applyBorder="1" applyAlignment="1" applyProtection="1">
      <alignment vertical="center"/>
      <protection locked="0"/>
    </xf>
    <xf numFmtId="0" fontId="18" fillId="2" borderId="0" xfId="0" applyFont="1" applyFill="1" applyBorder="1" applyAlignment="1" applyProtection="1">
      <alignment horizontal="left" vertical="center"/>
      <protection locked="0"/>
    </xf>
    <xf numFmtId="0" fontId="27" fillId="0" borderId="71" xfId="0" applyFont="1" applyFill="1" applyBorder="1" applyAlignment="1" applyProtection="1">
      <alignment vertical="center"/>
      <protection locked="0"/>
    </xf>
    <xf numFmtId="0" fontId="32" fillId="2" borderId="4" xfId="0" applyFont="1" applyFill="1" applyBorder="1" applyAlignment="1" applyProtection="1">
      <alignment vertical="center"/>
      <protection locked="0"/>
    </xf>
    <xf numFmtId="0" fontId="33" fillId="0" borderId="12" xfId="0" applyFont="1" applyFill="1" applyBorder="1" applyAlignment="1" applyProtection="1">
      <alignment vertical="center"/>
      <protection locked="0"/>
    </xf>
    <xf numFmtId="0" fontId="27" fillId="0" borderId="12" xfId="0" applyFont="1" applyFill="1" applyBorder="1" applyAlignment="1" applyProtection="1">
      <alignment vertical="center"/>
      <protection locked="0"/>
    </xf>
    <xf numFmtId="0" fontId="27" fillId="0" borderId="4" xfId="0" applyFont="1" applyFill="1" applyBorder="1" applyAlignment="1" applyProtection="1">
      <alignment vertical="center"/>
      <protection locked="0"/>
    </xf>
    <xf numFmtId="0" fontId="17" fillId="4" borderId="17" xfId="0" applyFont="1" applyFill="1" applyBorder="1" applyAlignment="1" applyProtection="1">
      <alignment vertical="center"/>
      <protection locked="0"/>
    </xf>
    <xf numFmtId="0" fontId="17" fillId="4" borderId="14" xfId="0" applyFont="1" applyFill="1" applyBorder="1" applyAlignment="1" applyProtection="1">
      <alignment vertical="center"/>
      <protection locked="0"/>
    </xf>
    <xf numFmtId="0" fontId="18" fillId="2" borderId="80" xfId="0" applyFont="1" applyFill="1" applyBorder="1" applyAlignment="1" applyProtection="1">
      <alignment vertical="center"/>
      <protection locked="0"/>
    </xf>
    <xf numFmtId="0" fontId="18" fillId="2" borderId="118" xfId="0" applyFont="1" applyFill="1" applyBorder="1" applyAlignment="1" applyProtection="1">
      <alignment vertical="center"/>
      <protection locked="0"/>
    </xf>
    <xf numFmtId="0" fontId="18" fillId="2" borderId="118" xfId="0" applyFont="1" applyFill="1" applyBorder="1" applyAlignment="1" applyProtection="1">
      <alignment horizontal="left" vertical="center"/>
      <protection locked="0"/>
    </xf>
    <xf numFmtId="0" fontId="18" fillId="2" borderId="119" xfId="0" applyFont="1" applyFill="1" applyBorder="1" applyAlignment="1" applyProtection="1">
      <alignment horizontal="left" vertical="center"/>
      <protection locked="0"/>
    </xf>
    <xf numFmtId="0" fontId="18" fillId="2" borderId="80" xfId="0" applyFont="1" applyFill="1" applyBorder="1" applyAlignment="1" applyProtection="1">
      <alignment horizontal="left" vertical="center"/>
      <protection locked="0"/>
    </xf>
    <xf numFmtId="0" fontId="18" fillId="2" borderId="119" xfId="0" applyFont="1" applyFill="1" applyBorder="1" applyAlignment="1" applyProtection="1">
      <alignment vertical="center"/>
      <protection locked="0"/>
    </xf>
    <xf numFmtId="0" fontId="18" fillId="2" borderId="113" xfId="0" applyFont="1" applyFill="1" applyBorder="1" applyAlignment="1" applyProtection="1">
      <alignment horizontal="center" vertical="center"/>
      <protection locked="0"/>
    </xf>
    <xf numFmtId="0" fontId="18" fillId="2" borderId="72" xfId="0" applyFont="1" applyFill="1" applyBorder="1" applyAlignment="1" applyProtection="1">
      <alignment horizontal="center" vertical="center"/>
      <protection locked="0"/>
    </xf>
    <xf numFmtId="3" fontId="18" fillId="11" borderId="22" xfId="0" applyNumberFormat="1" applyFont="1" applyFill="1" applyBorder="1" applyAlignment="1" applyProtection="1">
      <alignment vertical="center"/>
      <protection locked="0"/>
    </xf>
    <xf numFmtId="0" fontId="3" fillId="0" borderId="0" xfId="5"/>
    <xf numFmtId="0" fontId="18" fillId="2" borderId="8" xfId="0" applyFont="1" applyFill="1" applyBorder="1" applyAlignment="1" applyProtection="1">
      <alignment horizontal="left" vertical="center"/>
      <protection locked="0"/>
    </xf>
    <xf numFmtId="0" fontId="18" fillId="2" borderId="13" xfId="0" applyFont="1" applyFill="1" applyBorder="1" applyAlignment="1" applyProtection="1">
      <alignment horizontal="left" vertical="center"/>
      <protection locked="0"/>
    </xf>
    <xf numFmtId="0" fontId="19" fillId="11" borderId="0" xfId="5" applyFont="1" applyFill="1" applyAlignment="1">
      <alignment horizontal="left" vertical="center"/>
    </xf>
    <xf numFmtId="0" fontId="12" fillId="11" borderId="0" xfId="0" applyFont="1" applyFill="1" applyAlignment="1">
      <alignment horizontal="center"/>
    </xf>
    <xf numFmtId="0" fontId="12" fillId="11" borderId="0" xfId="0" applyFont="1" applyFill="1" applyAlignment="1" applyProtection="1">
      <alignment horizontal="right" vertical="center"/>
      <protection locked="0"/>
    </xf>
    <xf numFmtId="164" fontId="0" fillId="6" borderId="12" xfId="0" applyNumberFormat="1" applyFill="1" applyBorder="1" applyAlignment="1" applyProtection="1">
      <alignment horizontal="left" vertical="center"/>
      <protection locked="0"/>
    </xf>
    <xf numFmtId="14" fontId="29" fillId="0" borderId="121" xfId="0" applyNumberFormat="1" applyFont="1" applyFill="1" applyBorder="1" applyAlignment="1" applyProtection="1">
      <alignment horizontal="center" vertical="center"/>
      <protection locked="0"/>
    </xf>
    <xf numFmtId="0" fontId="29" fillId="0" borderId="123" xfId="0" applyFont="1" applyFill="1" applyBorder="1" applyAlignment="1" applyProtection="1">
      <alignment horizontal="center" vertical="center"/>
      <protection locked="0"/>
    </xf>
    <xf numFmtId="0" fontId="27" fillId="0" borderId="121" xfId="0" applyFont="1" applyFill="1" applyBorder="1" applyAlignment="1" applyProtection="1">
      <alignment horizontal="center" vertical="center"/>
      <protection locked="0"/>
    </xf>
    <xf numFmtId="0" fontId="27" fillId="0" borderId="122" xfId="0" applyFont="1" applyFill="1" applyBorder="1" applyAlignment="1" applyProtection="1">
      <alignment horizontal="center" vertical="center"/>
      <protection locked="0"/>
    </xf>
    <xf numFmtId="0" fontId="27" fillId="0" borderId="123" xfId="0" applyFont="1" applyFill="1" applyBorder="1" applyAlignment="1" applyProtection="1">
      <alignment horizontal="center" vertical="center"/>
      <protection locked="0"/>
    </xf>
    <xf numFmtId="0" fontId="27" fillId="2" borderId="120" xfId="0" applyFont="1" applyFill="1" applyBorder="1" applyAlignment="1" applyProtection="1">
      <alignment horizontal="center" vertical="center"/>
      <protection locked="0"/>
    </xf>
    <xf numFmtId="0" fontId="27" fillId="2" borderId="4" xfId="0" applyFont="1" applyFill="1" applyBorder="1" applyAlignment="1" applyProtection="1">
      <alignment horizontal="center" vertical="center"/>
      <protection locked="0"/>
    </xf>
    <xf numFmtId="0" fontId="10" fillId="5" borderId="0" xfId="5" applyFont="1" applyFill="1" applyAlignment="1" applyProtection="1">
      <alignment horizontal="left" vertical="center"/>
    </xf>
    <xf numFmtId="0" fontId="10" fillId="5" borderId="0" xfId="5" applyFont="1" applyFill="1" applyAlignment="1" applyProtection="1">
      <alignment horizontal="center" vertical="center"/>
    </xf>
    <xf numFmtId="0" fontId="11" fillId="4" borderId="0" xfId="0" applyFont="1" applyFill="1" applyAlignment="1" applyProtection="1">
      <alignment horizontal="center" vertical="center"/>
      <protection locked="0"/>
    </xf>
    <xf numFmtId="0" fontId="12" fillId="0" borderId="0" xfId="0" applyFont="1" applyFill="1" applyAlignment="1" applyProtection="1">
      <alignment horizontal="center" vertical="center"/>
      <protection locked="0"/>
    </xf>
    <xf numFmtId="0" fontId="19" fillId="0" borderId="0" xfId="5" applyFont="1" applyAlignment="1">
      <alignment horizontal="left" vertical="center"/>
    </xf>
    <xf numFmtId="0" fontId="12" fillId="11" borderId="0" xfId="0" applyFont="1" applyFill="1" applyAlignment="1">
      <alignment horizontal="right"/>
    </xf>
    <xf numFmtId="0" fontId="27" fillId="2" borderId="12" xfId="0" applyFont="1" applyFill="1" applyBorder="1" applyAlignment="1" applyProtection="1">
      <alignment horizontal="center" vertical="center"/>
      <protection locked="0"/>
    </xf>
    <xf numFmtId="0" fontId="4" fillId="0" borderId="15" xfId="0" applyFont="1" applyBorder="1" applyAlignment="1" applyProtection="1">
      <alignment horizontal="center" vertical="center" textRotation="90"/>
      <protection locked="0"/>
    </xf>
    <xf numFmtId="0" fontId="4" fillId="0" borderId="16" xfId="0" applyFont="1" applyBorder="1" applyAlignment="1" applyProtection="1">
      <alignment horizontal="center" vertical="center" textRotation="90"/>
      <protection locked="0"/>
    </xf>
    <xf numFmtId="0" fontId="4" fillId="0" borderId="21" xfId="0" applyFont="1" applyBorder="1" applyAlignment="1" applyProtection="1">
      <alignment horizontal="center" vertical="center" textRotation="90"/>
      <protection locked="0"/>
    </xf>
    <xf numFmtId="0" fontId="4" fillId="0" borderId="15" xfId="0" applyFont="1" applyBorder="1" applyAlignment="1" applyProtection="1">
      <alignment horizontal="center" vertical="center"/>
      <protection locked="0"/>
    </xf>
    <xf numFmtId="0" fontId="4" fillId="0" borderId="16" xfId="0" applyFont="1" applyBorder="1" applyAlignment="1" applyProtection="1">
      <alignment horizontal="center" vertical="center"/>
      <protection locked="0"/>
    </xf>
    <xf numFmtId="0" fontId="18" fillId="2" borderId="8" xfId="0" applyFont="1" applyFill="1" applyBorder="1" applyAlignment="1" applyProtection="1">
      <alignment horizontal="left" vertical="center"/>
      <protection locked="0"/>
    </xf>
    <xf numFmtId="0" fontId="18" fillId="2" borderId="13" xfId="0" applyFont="1" applyFill="1" applyBorder="1" applyAlignment="1" applyProtection="1">
      <alignment horizontal="left" vertical="center"/>
      <protection locked="0"/>
    </xf>
    <xf numFmtId="0" fontId="17" fillId="4" borderId="1" xfId="0" applyFont="1" applyFill="1" applyBorder="1" applyAlignment="1" applyProtection="1">
      <alignment horizontal="left" vertical="center"/>
      <protection locked="0"/>
    </xf>
    <xf numFmtId="0" fontId="17" fillId="4" borderId="3" xfId="0" applyFont="1" applyFill="1" applyBorder="1" applyAlignment="1" applyProtection="1">
      <alignment horizontal="left" vertical="center"/>
      <protection locked="0"/>
    </xf>
    <xf numFmtId="0" fontId="16" fillId="8" borderId="4" xfId="0" applyFont="1" applyFill="1" applyBorder="1" applyAlignment="1" applyProtection="1">
      <alignment horizontal="center" vertical="center"/>
      <protection locked="0"/>
    </xf>
    <xf numFmtId="0" fontId="16" fillId="8" borderId="12" xfId="0" applyFont="1" applyFill="1" applyBorder="1" applyAlignment="1" applyProtection="1">
      <alignment horizontal="center" vertical="center"/>
      <protection locked="0"/>
    </xf>
    <xf numFmtId="0" fontId="16" fillId="9" borderId="4" xfId="0" applyFont="1" applyFill="1" applyBorder="1" applyAlignment="1" applyProtection="1">
      <alignment horizontal="center" vertical="center"/>
      <protection locked="0"/>
    </xf>
    <xf numFmtId="0" fontId="16" fillId="10" borderId="10" xfId="0" applyFont="1" applyFill="1" applyBorder="1" applyAlignment="1" applyProtection="1">
      <alignment horizontal="center" vertical="center"/>
      <protection locked="0"/>
    </xf>
    <xf numFmtId="0" fontId="4" fillId="0" borderId="8" xfId="0" applyFont="1" applyBorder="1" applyAlignment="1" applyProtection="1">
      <alignment horizontal="center" vertical="center"/>
      <protection locked="0"/>
    </xf>
    <xf numFmtId="0" fontId="17" fillId="0" borderId="6" xfId="0" applyFont="1" applyFill="1" applyBorder="1" applyAlignment="1" applyProtection="1">
      <alignment horizontal="left" vertical="center"/>
      <protection locked="0"/>
    </xf>
    <xf numFmtId="0" fontId="17" fillId="0" borderId="9" xfId="0" applyFont="1" applyFill="1" applyBorder="1" applyAlignment="1" applyProtection="1">
      <alignment horizontal="left" vertical="center"/>
      <protection locked="0"/>
    </xf>
    <xf numFmtId="0" fontId="17" fillId="4" borderId="8" xfId="0" applyFont="1" applyFill="1" applyBorder="1" applyAlignment="1" applyProtection="1">
      <alignment horizontal="left" vertical="center"/>
      <protection locked="0"/>
    </xf>
    <xf numFmtId="0" fontId="17" fillId="4" borderId="13" xfId="0" applyFont="1" applyFill="1" applyBorder="1" applyAlignment="1" applyProtection="1">
      <alignment horizontal="left" vertical="center"/>
      <protection locked="0"/>
    </xf>
    <xf numFmtId="0" fontId="13" fillId="6" borderId="0" xfId="0" applyFont="1" applyFill="1" applyAlignment="1" applyProtection="1">
      <alignment horizontal="center" vertical="center"/>
      <protection locked="0"/>
    </xf>
    <xf numFmtId="0" fontId="15" fillId="7" borderId="0" xfId="0" applyFont="1" applyFill="1" applyAlignment="1" applyProtection="1">
      <alignment horizontal="center" vertical="center"/>
      <protection locked="0"/>
    </xf>
    <xf numFmtId="0" fontId="15" fillId="7" borderId="12" xfId="0" applyFont="1" applyFill="1" applyBorder="1" applyAlignment="1" applyProtection="1">
      <alignment horizontal="center" vertical="center"/>
      <protection locked="0"/>
    </xf>
    <xf numFmtId="0" fontId="16" fillId="8" borderId="5" xfId="0" applyFont="1" applyFill="1" applyBorder="1" applyAlignment="1" applyProtection="1">
      <alignment horizontal="center" vertical="center"/>
      <protection locked="0"/>
    </xf>
    <xf numFmtId="0" fontId="17" fillId="4" borderId="17" xfId="0" applyFont="1" applyFill="1" applyBorder="1" applyAlignment="1" applyProtection="1">
      <alignment horizontal="left" vertical="center"/>
      <protection locked="0"/>
    </xf>
    <xf numFmtId="0" fontId="17" fillId="4" borderId="14" xfId="0" applyFont="1" applyFill="1" applyBorder="1" applyAlignment="1" applyProtection="1">
      <alignment horizontal="left" vertical="center"/>
      <protection locked="0"/>
    </xf>
    <xf numFmtId="0" fontId="5" fillId="0" borderId="85" xfId="0" applyNumberFormat="1" applyFont="1" applyFill="1" applyBorder="1" applyAlignment="1" applyProtection="1">
      <alignment horizontal="left" vertical="top" wrapText="1"/>
      <protection locked="0"/>
    </xf>
    <xf numFmtId="0" fontId="5" fillId="0" borderId="36" xfId="0" applyNumberFormat="1" applyFont="1" applyFill="1" applyBorder="1" applyAlignment="1" applyProtection="1">
      <alignment horizontal="left" vertical="top" wrapText="1"/>
      <protection locked="0"/>
    </xf>
    <xf numFmtId="0" fontId="5" fillId="0" borderId="86" xfId="0" applyNumberFormat="1" applyFont="1" applyFill="1" applyBorder="1" applyAlignment="1" applyProtection="1">
      <alignment horizontal="left" vertical="top" wrapText="1"/>
      <protection locked="0"/>
    </xf>
    <xf numFmtId="0" fontId="21" fillId="12" borderId="103" xfId="0" applyFont="1" applyFill="1" applyBorder="1" applyAlignment="1">
      <alignment horizontal="left" vertical="top" wrapText="1"/>
    </xf>
    <xf numFmtId="0" fontId="21" fillId="12" borderId="104" xfId="0" applyFont="1" applyFill="1" applyBorder="1" applyAlignment="1">
      <alignment horizontal="left" vertical="top" wrapText="1"/>
    </xf>
    <xf numFmtId="0" fontId="5" fillId="0" borderId="83" xfId="0" applyNumberFormat="1" applyFont="1" applyFill="1" applyBorder="1" applyAlignment="1" applyProtection="1">
      <alignment horizontal="left" vertical="top" wrapText="1"/>
      <protection locked="0"/>
    </xf>
    <xf numFmtId="0" fontId="5" fillId="0" borderId="84" xfId="0" applyNumberFormat="1" applyFont="1" applyFill="1" applyBorder="1" applyAlignment="1" applyProtection="1">
      <alignment horizontal="left" vertical="top" wrapText="1"/>
      <protection locked="0"/>
    </xf>
    <xf numFmtId="0" fontId="5" fillId="0" borderId="90" xfId="0" applyNumberFormat="1" applyFont="1" applyFill="1" applyBorder="1" applyAlignment="1" applyProtection="1">
      <alignment horizontal="left" vertical="top" wrapText="1"/>
      <protection locked="0"/>
    </xf>
    <xf numFmtId="0" fontId="5" fillId="0" borderId="87" xfId="0" applyNumberFormat="1" applyFont="1" applyFill="1" applyBorder="1" applyAlignment="1" applyProtection="1">
      <alignment horizontal="left" vertical="top" wrapText="1"/>
      <protection locked="0"/>
    </xf>
    <xf numFmtId="0" fontId="5" fillId="0" borderId="88" xfId="0" applyNumberFormat="1" applyFont="1" applyFill="1" applyBorder="1" applyAlignment="1" applyProtection="1">
      <alignment horizontal="left" vertical="top" wrapText="1"/>
      <protection locked="0"/>
    </xf>
    <xf numFmtId="0" fontId="5" fillId="0" borderId="89" xfId="0" applyNumberFormat="1" applyFont="1" applyFill="1" applyBorder="1" applyAlignment="1" applyProtection="1">
      <alignment horizontal="left" vertical="top" wrapText="1"/>
      <protection locked="0"/>
    </xf>
  </cellXfs>
  <cellStyles count="6">
    <cellStyle name="Hyperlink" xfId="5" builtinId="8"/>
    <cellStyle name="Komma 2" xfId="4" xr:uid="{00000000-0005-0000-0000-000001000000}"/>
    <cellStyle name="Normal" xfId="0" builtinId="0"/>
    <cellStyle name="Normal 2" xfId="2" xr:uid="{00000000-0005-0000-0000-000003000000}"/>
    <cellStyle name="Percent" xfId="1" builtinId="5"/>
    <cellStyle name="Procent 2" xfId="3" xr:uid="{00000000-0005-0000-0000-000005000000}"/>
  </cellStyles>
  <dxfs count="11">
    <dxf>
      <font>
        <color rgb="FF006100"/>
      </font>
      <fill>
        <patternFill>
          <bgColor rgb="FFC6EFCE"/>
        </patternFill>
      </fill>
    </dxf>
    <dxf>
      <font>
        <color rgb="FF9C0006"/>
      </font>
      <fill>
        <patternFill>
          <bgColor rgb="FFFFC7CE"/>
        </patternFill>
      </fill>
    </dxf>
    <dxf>
      <fill>
        <patternFill>
          <bgColor theme="0" tint="-0.14996795556505021"/>
        </patternFill>
      </fill>
    </dxf>
    <dxf>
      <font>
        <color rgb="FF9C0006"/>
      </font>
    </dxf>
    <dxf>
      <font>
        <color rgb="FF006100"/>
      </font>
      <fill>
        <patternFill>
          <bgColor rgb="FFC6EFCE"/>
        </patternFill>
      </fill>
    </dxf>
    <dxf>
      <font>
        <color rgb="FF9C0006"/>
      </font>
      <fill>
        <patternFill>
          <bgColor rgb="FFFFC7CE"/>
        </patternFill>
      </fill>
    </dxf>
    <dxf>
      <fill>
        <patternFill>
          <bgColor theme="0" tint="-0.14996795556505021"/>
        </patternFill>
      </fill>
    </dxf>
    <dxf>
      <font>
        <color rgb="FF9C0006"/>
      </font>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CC"/>
      <color rgb="FF99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11</xdr:col>
      <xdr:colOff>257175</xdr:colOff>
      <xdr:row>10</xdr:row>
      <xdr:rowOff>142875</xdr:rowOff>
    </xdr:from>
    <xdr:to>
      <xdr:col>15</xdr:col>
      <xdr:colOff>66675</xdr:colOff>
      <xdr:row>14</xdr:row>
      <xdr:rowOff>180975</xdr:rowOff>
    </xdr:to>
    <xdr:pic>
      <xdr:nvPicPr>
        <xdr:cNvPr id="2" name="Billed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62775" y="2047875"/>
          <a:ext cx="2247900" cy="800100"/>
        </a:xfrm>
        <a:prstGeom prst="rect">
          <a:avLst/>
        </a:prstGeom>
        <a:noFill/>
        <a:ln>
          <a:solidFill>
            <a:schemeClr val="tx1"/>
          </a:solidFill>
        </a:ln>
        <a:extLst>
          <a:ext uri="{909E8E84-426E-40dd-AFC4-6F175D3DCCD1}">
            <a14:hiddenFill xmlns=""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47625</xdr:colOff>
      <xdr:row>65</xdr:row>
      <xdr:rowOff>9525</xdr:rowOff>
    </xdr:from>
    <xdr:to>
      <xdr:col>9</xdr:col>
      <xdr:colOff>866775</xdr:colOff>
      <xdr:row>97</xdr:row>
      <xdr:rowOff>0</xdr:rowOff>
    </xdr:to>
    <xdr:sp macro="" textlink="">
      <xdr:nvSpPr>
        <xdr:cNvPr id="2" name="Højre klammeparentes 1">
          <a:extLst>
            <a:ext uri="{FF2B5EF4-FFF2-40B4-BE49-F238E27FC236}">
              <a16:creationId xmlns:a16="http://schemas.microsoft.com/office/drawing/2014/main" id="{00000000-0008-0000-0200-000002000000}"/>
            </a:ext>
          </a:extLst>
        </xdr:cNvPr>
        <xdr:cNvSpPr/>
      </xdr:nvSpPr>
      <xdr:spPr>
        <a:xfrm>
          <a:off x="9410700" y="12601575"/>
          <a:ext cx="819150" cy="6162675"/>
        </a:xfrm>
        <a:prstGeom prst="rightBrace">
          <a:avLst>
            <a:gd name="adj1" fmla="val 8333"/>
            <a:gd name="adj2" fmla="val 48361"/>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a-DK" sz="1100"/>
        </a:p>
      </xdr:txBody>
    </xdr:sp>
    <xdr:clientData/>
  </xdr:twoCellAnchor>
  <xdr:twoCellAnchor>
    <xdr:from>
      <xdr:col>9</xdr:col>
      <xdr:colOff>0</xdr:colOff>
      <xdr:row>39</xdr:row>
      <xdr:rowOff>0</xdr:rowOff>
    </xdr:from>
    <xdr:to>
      <xdr:col>9</xdr:col>
      <xdr:colOff>819150</xdr:colOff>
      <xdr:row>62</xdr:row>
      <xdr:rowOff>171450</xdr:rowOff>
    </xdr:to>
    <xdr:sp macro="" textlink="">
      <xdr:nvSpPr>
        <xdr:cNvPr id="3" name="Højre klammeparentes 2">
          <a:extLst>
            <a:ext uri="{FF2B5EF4-FFF2-40B4-BE49-F238E27FC236}">
              <a16:creationId xmlns:a16="http://schemas.microsoft.com/office/drawing/2014/main" id="{00000000-0008-0000-0200-000003000000}"/>
            </a:ext>
          </a:extLst>
        </xdr:cNvPr>
        <xdr:cNvSpPr/>
      </xdr:nvSpPr>
      <xdr:spPr>
        <a:xfrm>
          <a:off x="9363075" y="7353300"/>
          <a:ext cx="819150" cy="4648200"/>
        </a:xfrm>
        <a:prstGeom prst="rightBrace">
          <a:avLst>
            <a:gd name="adj1" fmla="val 8333"/>
            <a:gd name="adj2" fmla="val 48361"/>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a-DK" sz="1100"/>
        </a:p>
      </xdr:txBody>
    </xdr:sp>
    <xdr:clientData/>
  </xdr:twoCellAnchor>
  <xdr:twoCellAnchor>
    <xdr:from>
      <xdr:col>12</xdr:col>
      <xdr:colOff>0</xdr:colOff>
      <xdr:row>20</xdr:row>
      <xdr:rowOff>0</xdr:rowOff>
    </xdr:from>
    <xdr:to>
      <xdr:col>12</xdr:col>
      <xdr:colOff>819150</xdr:colOff>
      <xdr:row>37</xdr:row>
      <xdr:rowOff>9525</xdr:rowOff>
    </xdr:to>
    <xdr:sp macro="" textlink="">
      <xdr:nvSpPr>
        <xdr:cNvPr id="4" name="Højre klammeparentes 3">
          <a:extLst>
            <a:ext uri="{FF2B5EF4-FFF2-40B4-BE49-F238E27FC236}">
              <a16:creationId xmlns:a16="http://schemas.microsoft.com/office/drawing/2014/main" id="{00000000-0008-0000-0200-000004000000}"/>
            </a:ext>
          </a:extLst>
        </xdr:cNvPr>
        <xdr:cNvSpPr/>
      </xdr:nvSpPr>
      <xdr:spPr>
        <a:xfrm>
          <a:off x="12106275" y="4000500"/>
          <a:ext cx="819150" cy="3400425"/>
        </a:xfrm>
        <a:prstGeom prst="rightBrace">
          <a:avLst>
            <a:gd name="adj1" fmla="val 8333"/>
            <a:gd name="adj2" fmla="val 51741"/>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a-DK" sz="1100"/>
        </a:p>
      </xdr:txBody>
    </xdr:sp>
    <xdr:clientData/>
  </xdr:twoCellAnchor>
  <xdr:twoCellAnchor>
    <xdr:from>
      <xdr:col>12</xdr:col>
      <xdr:colOff>1285875</xdr:colOff>
      <xdr:row>18</xdr:row>
      <xdr:rowOff>142875</xdr:rowOff>
    </xdr:from>
    <xdr:to>
      <xdr:col>12</xdr:col>
      <xdr:colOff>2352675</xdr:colOff>
      <xdr:row>20</xdr:row>
      <xdr:rowOff>295275</xdr:rowOff>
    </xdr:to>
    <xdr:cxnSp macro="">
      <xdr:nvCxnSpPr>
        <xdr:cNvPr id="6" name="Lige pilforbindelse 5">
          <a:extLst>
            <a:ext uri="{FF2B5EF4-FFF2-40B4-BE49-F238E27FC236}">
              <a16:creationId xmlns:a16="http://schemas.microsoft.com/office/drawing/2014/main" id="{00000000-0008-0000-0200-000006000000}"/>
            </a:ext>
          </a:extLst>
        </xdr:cNvPr>
        <xdr:cNvCxnSpPr/>
      </xdr:nvCxnSpPr>
      <xdr:spPr>
        <a:xfrm flipH="1" flipV="1">
          <a:off x="13392150" y="3543300"/>
          <a:ext cx="1066800" cy="5429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273711</xdr:colOff>
      <xdr:row>12</xdr:row>
      <xdr:rowOff>128933</xdr:rowOff>
    </xdr:from>
    <xdr:ext cx="2075120" cy="311496"/>
    <xdr:sp macro="" textlink="">
      <xdr:nvSpPr>
        <xdr:cNvPr id="7" name="Tekstboks 6">
          <a:extLst>
            <a:ext uri="{FF2B5EF4-FFF2-40B4-BE49-F238E27FC236}">
              <a16:creationId xmlns:a16="http://schemas.microsoft.com/office/drawing/2014/main" id="{00000000-0008-0000-0200-000007000000}"/>
            </a:ext>
          </a:extLst>
        </xdr:cNvPr>
        <xdr:cNvSpPr txBox="1"/>
      </xdr:nvSpPr>
      <xdr:spPr>
        <a:xfrm>
          <a:off x="2321586" y="2586383"/>
          <a:ext cx="207512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a-DK" sz="1400">
              <a:solidFill>
                <a:srgbClr val="FF0000"/>
              </a:solidFill>
            </a:rPr>
            <a:t>Enter</a:t>
          </a:r>
          <a:r>
            <a:rPr lang="da-DK" sz="1400" baseline="0">
              <a:solidFill>
                <a:srgbClr val="FF0000"/>
              </a:solidFill>
            </a:rPr>
            <a:t> in sheet "Overview"</a:t>
          </a:r>
          <a:endParaRPr lang="da-DK" sz="1400">
            <a:solidFill>
              <a:srgbClr val="FF0000"/>
            </a:solidFill>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file://///uni.au.dk/dfs/FA_FSE/Administration,%20ledelse%20og%20f&#230;lles%20mappe/V&#230;rkt&#248;jer%20og%20skabeloner/Budgetskabeloner/DK%20Public/DFF/Fra%20Egrant%20F2018"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F0"/>
  </sheetPr>
  <dimension ref="A1:AL320"/>
  <sheetViews>
    <sheetView showGridLines="0" tabSelected="1" workbookViewId="0">
      <selection activeCell="J52" sqref="J52"/>
    </sheetView>
  </sheetViews>
  <sheetFormatPr baseColWidth="10" defaultColWidth="9.1640625" defaultRowHeight="15" x14ac:dyDescent="0.2"/>
  <cols>
    <col min="1" max="1" width="6.6640625" style="4" customWidth="1"/>
    <col min="2" max="2" width="23.33203125" style="4" customWidth="1"/>
    <col min="3" max="3" width="26.83203125" style="4" customWidth="1"/>
    <col min="4" max="9" width="9.6640625" style="4" customWidth="1"/>
    <col min="10" max="10" width="13.6640625" style="4" customWidth="1"/>
    <col min="11" max="11" width="3.33203125" style="4" customWidth="1"/>
    <col min="12" max="12" width="6.6640625" style="4" customWidth="1"/>
    <col min="13" max="13" width="21.83203125" style="4" customWidth="1"/>
    <col min="14" max="14" width="23.5" style="4" customWidth="1"/>
    <col min="15" max="20" width="9.6640625" style="4" customWidth="1"/>
    <col min="21" max="21" width="13.6640625" style="4" customWidth="1"/>
    <col min="22" max="22" width="3.33203125" style="4" customWidth="1"/>
    <col min="23" max="23" width="6.6640625" style="4" customWidth="1"/>
    <col min="24" max="24" width="21.83203125" style="4" customWidth="1"/>
    <col min="25" max="25" width="23.5" style="4" customWidth="1"/>
    <col min="26" max="26" width="11.5" style="4" customWidth="1"/>
    <col min="27" max="31" width="9.6640625" style="4" customWidth="1"/>
    <col min="32" max="32" width="13.6640625" style="4" customWidth="1"/>
    <col min="33" max="34" width="6.6640625" style="4" customWidth="1"/>
    <col min="35" max="16384" width="9.1640625" style="4"/>
  </cols>
  <sheetData>
    <row r="1" spans="1:38" ht="29.25" customHeight="1" x14ac:dyDescent="0.2">
      <c r="A1" s="1" t="s">
        <v>3</v>
      </c>
      <c r="B1" s="1"/>
      <c r="C1" s="1"/>
      <c r="D1" s="1"/>
      <c r="E1" s="1"/>
      <c r="F1" s="1"/>
      <c r="G1" s="1"/>
      <c r="H1" s="1"/>
      <c r="I1" s="1"/>
      <c r="J1" s="1"/>
      <c r="K1" s="1"/>
      <c r="L1" s="2"/>
      <c r="M1" s="2"/>
      <c r="N1" s="297" t="s">
        <v>4</v>
      </c>
      <c r="O1" s="297"/>
      <c r="P1" s="298"/>
      <c r="Q1" s="298"/>
      <c r="R1" s="298"/>
      <c r="S1" s="298"/>
      <c r="T1" s="298"/>
      <c r="U1" s="298"/>
      <c r="V1" s="3"/>
      <c r="W1" s="3"/>
      <c r="X1" s="3"/>
      <c r="Y1" s="3"/>
      <c r="Z1" s="3"/>
      <c r="AA1" s="3"/>
      <c r="AB1" s="3"/>
      <c r="AC1" s="3"/>
      <c r="AD1" s="3"/>
      <c r="AE1" s="3"/>
      <c r="AF1" s="3"/>
    </row>
    <row r="2" spans="1:38" ht="15" hidden="1" customHeight="1" x14ac:dyDescent="0.2">
      <c r="A2" s="299" t="s">
        <v>5</v>
      </c>
      <c r="B2" s="299"/>
      <c r="C2" s="299"/>
      <c r="D2" s="299"/>
      <c r="E2" s="299"/>
      <c r="F2" s="299"/>
      <c r="G2" s="299"/>
      <c r="H2" s="299"/>
      <c r="I2" s="299"/>
      <c r="J2" s="299"/>
      <c r="K2" s="299"/>
      <c r="L2" s="299"/>
      <c r="M2" s="299"/>
      <c r="N2" s="299"/>
      <c r="O2" s="299"/>
      <c r="P2" s="299"/>
      <c r="Q2" s="299"/>
      <c r="R2" s="299"/>
      <c r="S2" s="299"/>
      <c r="T2" s="299"/>
      <c r="U2" s="299"/>
      <c r="V2" s="299"/>
      <c r="W2" s="299"/>
      <c r="X2" s="299"/>
      <c r="Y2" s="299"/>
      <c r="Z2" s="299"/>
      <c r="AA2" s="299"/>
      <c r="AB2" s="299"/>
      <c r="AC2" s="299"/>
      <c r="AD2" s="299"/>
      <c r="AE2" s="299"/>
      <c r="AF2" s="299"/>
      <c r="AG2" s="5"/>
      <c r="AH2" s="5"/>
      <c r="AI2" s="5"/>
      <c r="AJ2" s="5"/>
      <c r="AK2" s="5"/>
      <c r="AL2" s="5"/>
    </row>
    <row r="3" spans="1:38" ht="15" hidden="1" customHeight="1" x14ac:dyDescent="0.2">
      <c r="A3" s="299"/>
      <c r="B3" s="299"/>
      <c r="C3" s="299"/>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9"/>
      <c r="AD3" s="299"/>
      <c r="AE3" s="299"/>
      <c r="AF3" s="299"/>
      <c r="AG3" s="5"/>
      <c r="AH3" s="5"/>
      <c r="AI3" s="5"/>
      <c r="AJ3" s="5"/>
      <c r="AK3" s="5"/>
      <c r="AL3" s="5"/>
    </row>
    <row r="4" spans="1:38" ht="16.5" customHeight="1" x14ac:dyDescent="0.2">
      <c r="A4" s="300">
        <v>1</v>
      </c>
      <c r="B4" s="301" t="str">
        <f>$D$6</f>
        <v>Aarhus University</v>
      </c>
      <c r="C4" s="301"/>
      <c r="D4" s="301"/>
      <c r="E4" s="301"/>
      <c r="F4" s="300">
        <v>2</v>
      </c>
      <c r="G4" s="301" t="str">
        <f>D70</f>
        <v>Partner 2</v>
      </c>
      <c r="H4" s="301"/>
      <c r="I4" s="301"/>
      <c r="J4" s="301"/>
      <c r="K4" s="301"/>
      <c r="L4" s="301"/>
      <c r="M4" s="302">
        <v>3</v>
      </c>
      <c r="N4" s="286" t="str">
        <f>D133</f>
        <v>Partner 3</v>
      </c>
      <c r="O4" s="286"/>
      <c r="P4" s="286"/>
      <c r="Q4" s="286"/>
      <c r="R4" s="286"/>
      <c r="S4" s="287">
        <v>4</v>
      </c>
      <c r="T4" s="286" t="str">
        <f>D196</f>
        <v>Partner 4</v>
      </c>
      <c r="U4" s="286"/>
      <c r="V4" s="286"/>
      <c r="W4" s="286"/>
      <c r="X4" s="286"/>
      <c r="Y4" s="288">
        <v>5</v>
      </c>
      <c r="Z4" s="286" t="str">
        <f>D259</f>
        <v>Partner 5</v>
      </c>
      <c r="AA4" s="286"/>
      <c r="AB4" s="286"/>
      <c r="AC4" s="286"/>
      <c r="AD4" s="286"/>
      <c r="AE4" s="286"/>
      <c r="AF4" s="286"/>
      <c r="AG4"/>
      <c r="AH4"/>
      <c r="AI4"/>
      <c r="AJ4"/>
      <c r="AK4"/>
      <c r="AL4"/>
    </row>
    <row r="5" spans="1:38" ht="8.25" customHeight="1" thickBot="1" x14ac:dyDescent="0.25">
      <c r="A5" s="300"/>
      <c r="B5" s="301"/>
      <c r="C5" s="301"/>
      <c r="D5" s="301"/>
      <c r="E5" s="301"/>
      <c r="F5" s="300"/>
      <c r="G5" s="301"/>
      <c r="H5" s="301"/>
      <c r="I5" s="301"/>
      <c r="J5" s="301"/>
      <c r="K5" s="301"/>
      <c r="L5" s="301"/>
      <c r="M5" s="302"/>
      <c r="N5" s="286"/>
      <c r="O5" s="286"/>
      <c r="P5" s="286"/>
      <c r="Q5" s="286"/>
      <c r="R5" s="286"/>
      <c r="S5" s="287"/>
      <c r="T5" s="286"/>
      <c r="U5" s="286"/>
      <c r="V5" s="286"/>
      <c r="W5" s="286"/>
      <c r="X5" s="286"/>
      <c r="Y5" s="288"/>
      <c r="Z5" s="286"/>
      <c r="AA5" s="286"/>
      <c r="AB5" s="286"/>
      <c r="AC5" s="286"/>
      <c r="AD5" s="286"/>
      <c r="AE5" s="286"/>
      <c r="AF5" s="286"/>
      <c r="AG5"/>
      <c r="AH5"/>
      <c r="AI5"/>
      <c r="AJ5"/>
      <c r="AK5"/>
      <c r="AL5"/>
    </row>
    <row r="6" spans="1:38" ht="32" thickBot="1" x14ac:dyDescent="0.25">
      <c r="A6" s="45"/>
      <c r="B6" s="45" t="s">
        <v>85</v>
      </c>
      <c r="C6" s="234"/>
      <c r="D6" s="215" t="s">
        <v>2</v>
      </c>
      <c r="E6" s="215"/>
      <c r="F6" s="215"/>
      <c r="G6" s="234"/>
      <c r="H6" s="234"/>
      <c r="I6" s="234"/>
      <c r="J6" s="234"/>
      <c r="K6" s="209"/>
      <c r="L6" s="210" t="s">
        <v>33</v>
      </c>
      <c r="M6" s="210"/>
      <c r="N6" s="235">
        <v>43739</v>
      </c>
      <c r="O6" s="210" t="s">
        <v>80</v>
      </c>
      <c r="P6" s="206"/>
      <c r="Q6" s="206"/>
      <c r="R6" s="290">
        <v>45199</v>
      </c>
      <c r="S6" s="291"/>
      <c r="T6" s="206"/>
      <c r="U6" s="206"/>
      <c r="V6" s="45"/>
      <c r="W6" s="207" t="s">
        <v>73</v>
      </c>
      <c r="X6" s="205"/>
      <c r="Y6" s="208"/>
      <c r="Z6" s="289">
        <f>'Entries for DFF'!$L$40</f>
        <v>2412624.6168076801</v>
      </c>
      <c r="AA6" s="289"/>
      <c r="AB6" s="205"/>
      <c r="AC6" s="205"/>
      <c r="AD6" s="205"/>
      <c r="AE6" s="205"/>
      <c r="AF6" s="205"/>
    </row>
    <row r="7" spans="1:38" ht="27" thickBot="1" x14ac:dyDescent="0.25">
      <c r="A7" s="204" t="s">
        <v>81</v>
      </c>
      <c r="B7" s="204"/>
      <c r="C7" s="267"/>
      <c r="D7" s="295" t="s">
        <v>82</v>
      </c>
      <c r="E7" s="296"/>
      <c r="F7" s="296"/>
      <c r="G7" s="292"/>
      <c r="H7" s="293"/>
      <c r="I7" s="293"/>
      <c r="J7" s="294"/>
      <c r="K7" s="211"/>
      <c r="L7" s="217" t="s">
        <v>106</v>
      </c>
      <c r="M7" s="214"/>
      <c r="N7" s="217"/>
      <c r="O7" s="268" t="s">
        <v>90</v>
      </c>
      <c r="P7" s="268"/>
      <c r="Q7" s="268"/>
      <c r="R7" s="269">
        <f>'Entries for DFF'!$L$40</f>
        <v>2412624.6168076801</v>
      </c>
      <c r="S7" s="270"/>
      <c r="T7" s="271"/>
      <c r="U7" s="214"/>
      <c r="V7" s="212"/>
      <c r="W7" s="303"/>
      <c r="X7" s="303"/>
      <c r="Y7" s="303"/>
      <c r="Z7" s="303"/>
      <c r="AA7" s="303"/>
      <c r="AB7" s="303"/>
      <c r="AC7" s="303"/>
      <c r="AD7" s="303"/>
      <c r="AE7" s="303"/>
      <c r="AF7" s="303"/>
    </row>
    <row r="8" spans="1:38" ht="27" thickBot="1" x14ac:dyDescent="0.25">
      <c r="A8" s="313" t="s">
        <v>25</v>
      </c>
      <c r="B8" s="313"/>
      <c r="C8" s="314"/>
      <c r="D8" s="313"/>
      <c r="E8" s="313"/>
      <c r="F8" s="313"/>
      <c r="G8" s="314"/>
      <c r="H8" s="314"/>
      <c r="I8" s="314"/>
      <c r="J8" s="314"/>
      <c r="K8" s="44"/>
      <c r="L8" s="315" t="s">
        <v>6</v>
      </c>
      <c r="M8" s="315"/>
      <c r="N8" s="315"/>
      <c r="O8" s="315"/>
      <c r="P8" s="315"/>
      <c r="Q8" s="315"/>
      <c r="R8" s="315"/>
      <c r="S8" s="315"/>
      <c r="T8" s="315"/>
      <c r="U8" s="315"/>
      <c r="V8" s="11"/>
      <c r="W8" s="316" t="s">
        <v>7</v>
      </c>
      <c r="X8" s="316"/>
      <c r="Y8" s="316"/>
      <c r="Z8" s="316"/>
      <c r="AA8" s="316"/>
      <c r="AB8" s="316"/>
      <c r="AC8" s="316"/>
      <c r="AD8" s="316"/>
      <c r="AE8" s="316"/>
      <c r="AF8" s="316"/>
    </row>
    <row r="9" spans="1:38" ht="15" customHeight="1" x14ac:dyDescent="0.2">
      <c r="A9" s="307" t="s">
        <v>8</v>
      </c>
      <c r="B9" s="318" t="s">
        <v>9</v>
      </c>
      <c r="C9" s="319"/>
      <c r="D9" s="12">
        <v>2019</v>
      </c>
      <c r="E9" s="12">
        <v>2020</v>
      </c>
      <c r="F9" s="12">
        <v>2021</v>
      </c>
      <c r="G9" s="12">
        <v>2022</v>
      </c>
      <c r="H9" s="12">
        <v>2023</v>
      </c>
      <c r="I9" s="12">
        <v>2024</v>
      </c>
      <c r="J9" s="46" t="s">
        <v>0</v>
      </c>
      <c r="L9" s="307" t="s">
        <v>8</v>
      </c>
      <c r="M9" s="318" t="s">
        <v>9</v>
      </c>
      <c r="N9" s="319"/>
      <c r="O9" s="12">
        <v>2019</v>
      </c>
      <c r="P9" s="12">
        <v>2020</v>
      </c>
      <c r="Q9" s="12">
        <v>2021</v>
      </c>
      <c r="R9" s="12">
        <v>2022</v>
      </c>
      <c r="S9" s="12">
        <v>2023</v>
      </c>
      <c r="T9" s="12">
        <v>2024</v>
      </c>
      <c r="U9" s="13" t="s">
        <v>0</v>
      </c>
      <c r="V9" s="14"/>
      <c r="W9" s="307" t="s">
        <v>8</v>
      </c>
      <c r="X9" s="318" t="s">
        <v>9</v>
      </c>
      <c r="Y9" s="319"/>
      <c r="Z9" s="12">
        <v>2019</v>
      </c>
      <c r="AA9" s="12">
        <v>2020</v>
      </c>
      <c r="AB9" s="12">
        <v>2021</v>
      </c>
      <c r="AC9" s="12">
        <v>2022</v>
      </c>
      <c r="AD9" s="12">
        <v>2023</v>
      </c>
      <c r="AE9" s="12">
        <v>2024</v>
      </c>
      <c r="AF9" s="13" t="s">
        <v>0</v>
      </c>
    </row>
    <row r="10" spans="1:38" ht="16" thickBot="1" x14ac:dyDescent="0.25">
      <c r="A10" s="308"/>
      <c r="B10" s="272" t="s">
        <v>91</v>
      </c>
      <c r="C10" s="273" t="s">
        <v>92</v>
      </c>
      <c r="D10" s="38"/>
      <c r="E10" s="38"/>
      <c r="F10" s="38"/>
      <c r="G10" s="38"/>
      <c r="H10" s="38"/>
      <c r="I10" s="38"/>
      <c r="J10" s="48">
        <f>SUM(J11:J19)</f>
        <v>36</v>
      </c>
      <c r="L10" s="308"/>
      <c r="M10" s="311" t="s">
        <v>29</v>
      </c>
      <c r="N10" s="312"/>
      <c r="O10" s="38"/>
      <c r="P10" s="38"/>
      <c r="Q10" s="38"/>
      <c r="R10" s="38"/>
      <c r="S10" s="38"/>
      <c r="T10" s="38"/>
      <c r="U10" s="39">
        <f>SUM(U11:U19)</f>
        <v>9</v>
      </c>
      <c r="V10" s="16"/>
      <c r="W10" s="308"/>
      <c r="X10" s="311" t="s">
        <v>29</v>
      </c>
      <c r="Y10" s="312"/>
      <c r="Z10" s="38"/>
      <c r="AA10" s="38"/>
      <c r="AB10" s="38"/>
      <c r="AC10" s="38"/>
      <c r="AD10" s="38"/>
      <c r="AE10" s="38"/>
      <c r="AF10" s="39">
        <f>SUM(AF11:AF19)</f>
        <v>0</v>
      </c>
    </row>
    <row r="11" spans="1:38" ht="15" customHeight="1" x14ac:dyDescent="0.2">
      <c r="A11" s="317"/>
      <c r="B11" s="274" t="s">
        <v>107</v>
      </c>
      <c r="C11" s="220"/>
      <c r="D11" s="15"/>
      <c r="E11" s="15"/>
      <c r="F11" s="15"/>
      <c r="G11" s="15"/>
      <c r="H11" s="15"/>
      <c r="I11" s="15"/>
      <c r="J11" s="228">
        <f t="shared" ref="J11:J19" si="0">SUM(D11:I11)</f>
        <v>0</v>
      </c>
      <c r="L11" s="308"/>
      <c r="M11" s="86" t="str">
        <f>$B11</f>
        <v xml:space="preserve">Kasper Munch Terkelsen </v>
      </c>
      <c r="N11" s="87"/>
      <c r="O11" s="15">
        <v>1</v>
      </c>
      <c r="P11" s="15">
        <v>2</v>
      </c>
      <c r="Q11" s="15">
        <v>2</v>
      </c>
      <c r="R11" s="15">
        <v>2</v>
      </c>
      <c r="S11" s="15">
        <v>2</v>
      </c>
      <c r="T11" s="15"/>
      <c r="U11" s="228">
        <f t="shared" ref="U11:U19" si="1">SUM(O11:T11)</f>
        <v>9</v>
      </c>
      <c r="V11" s="16"/>
      <c r="W11" s="308"/>
      <c r="X11" s="86" t="str">
        <f>$B11</f>
        <v xml:space="preserve">Kasper Munch Terkelsen </v>
      </c>
      <c r="Y11" s="87"/>
      <c r="Z11" s="15"/>
      <c r="AA11" s="15"/>
      <c r="AB11" s="15"/>
      <c r="AC11" s="15"/>
      <c r="AD11" s="15"/>
      <c r="AE11" s="15"/>
      <c r="AF11" s="228">
        <f t="shared" ref="AF11:AF19" si="2">SUM(Z11:AE11)</f>
        <v>0</v>
      </c>
    </row>
    <row r="12" spans="1:38" ht="15" customHeight="1" x14ac:dyDescent="0.2">
      <c r="A12" s="317"/>
      <c r="B12" s="275"/>
      <c r="C12" s="222"/>
      <c r="D12" s="15"/>
      <c r="E12" s="15"/>
      <c r="F12" s="15"/>
      <c r="G12" s="15"/>
      <c r="H12" s="15"/>
      <c r="I12" s="15"/>
      <c r="J12" s="229">
        <f t="shared" si="0"/>
        <v>0</v>
      </c>
      <c r="L12" s="308"/>
      <c r="M12" s="88">
        <f t="shared" ref="M12:M19" si="3">$B12</f>
        <v>0</v>
      </c>
      <c r="N12" s="89"/>
      <c r="O12" s="15"/>
      <c r="P12" s="15"/>
      <c r="Q12" s="15"/>
      <c r="R12" s="15"/>
      <c r="S12" s="15"/>
      <c r="T12" s="15"/>
      <c r="U12" s="229">
        <f t="shared" si="1"/>
        <v>0</v>
      </c>
      <c r="V12" s="16"/>
      <c r="W12" s="308"/>
      <c r="X12" s="88">
        <f t="shared" ref="X12:X19" si="4">$B12</f>
        <v>0</v>
      </c>
      <c r="Y12" s="89"/>
      <c r="Z12" s="15"/>
      <c r="AA12" s="15"/>
      <c r="AB12" s="15"/>
      <c r="AC12" s="15"/>
      <c r="AD12" s="15"/>
      <c r="AE12" s="15"/>
      <c r="AF12" s="229">
        <f t="shared" si="2"/>
        <v>0</v>
      </c>
    </row>
    <row r="13" spans="1:38" ht="15" customHeight="1" x14ac:dyDescent="0.2">
      <c r="A13" s="317"/>
      <c r="B13" s="275"/>
      <c r="C13" s="222"/>
      <c r="D13" s="15"/>
      <c r="E13" s="15"/>
      <c r="F13" s="15"/>
      <c r="G13" s="15"/>
      <c r="H13" s="15"/>
      <c r="I13" s="15"/>
      <c r="J13" s="229">
        <f t="shared" si="0"/>
        <v>0</v>
      </c>
      <c r="L13" s="308"/>
      <c r="M13" s="88">
        <f t="shared" si="3"/>
        <v>0</v>
      </c>
      <c r="N13" s="89"/>
      <c r="O13" s="15"/>
      <c r="P13" s="15"/>
      <c r="Q13" s="15"/>
      <c r="R13" s="15"/>
      <c r="S13" s="15"/>
      <c r="T13" s="15"/>
      <c r="U13" s="229">
        <f t="shared" si="1"/>
        <v>0</v>
      </c>
      <c r="V13" s="16"/>
      <c r="W13" s="308"/>
      <c r="X13" s="88">
        <f t="shared" si="4"/>
        <v>0</v>
      </c>
      <c r="Y13" s="89"/>
      <c r="Z13" s="15"/>
      <c r="AA13" s="15"/>
      <c r="AB13" s="15"/>
      <c r="AC13" s="15"/>
      <c r="AD13" s="15"/>
      <c r="AE13" s="15"/>
      <c r="AF13" s="229">
        <f t="shared" si="2"/>
        <v>0</v>
      </c>
    </row>
    <row r="14" spans="1:38" ht="15" customHeight="1" x14ac:dyDescent="0.2">
      <c r="A14" s="317"/>
      <c r="B14" s="275"/>
      <c r="C14" s="222"/>
      <c r="D14" s="15"/>
      <c r="E14" s="15"/>
      <c r="F14" s="15"/>
      <c r="G14" s="15"/>
      <c r="H14" s="15"/>
      <c r="I14" s="15"/>
      <c r="J14" s="229">
        <f t="shared" si="0"/>
        <v>0</v>
      </c>
      <c r="L14" s="308"/>
      <c r="M14" s="88">
        <f t="shared" si="3"/>
        <v>0</v>
      </c>
      <c r="N14" s="89"/>
      <c r="O14" s="15"/>
      <c r="P14" s="15"/>
      <c r="Q14" s="15"/>
      <c r="R14" s="15"/>
      <c r="S14" s="15"/>
      <c r="T14" s="15"/>
      <c r="U14" s="229">
        <f t="shared" si="1"/>
        <v>0</v>
      </c>
      <c r="V14" s="16"/>
      <c r="W14" s="308"/>
      <c r="X14" s="88">
        <f t="shared" si="4"/>
        <v>0</v>
      </c>
      <c r="Y14" s="89"/>
      <c r="Z14" s="15"/>
      <c r="AA14" s="15"/>
      <c r="AB14" s="15"/>
      <c r="AC14" s="15"/>
      <c r="AD14" s="15"/>
      <c r="AE14" s="15"/>
      <c r="AF14" s="229">
        <f t="shared" si="2"/>
        <v>0</v>
      </c>
    </row>
    <row r="15" spans="1:38" ht="15" customHeight="1" x14ac:dyDescent="0.2">
      <c r="A15" s="317"/>
      <c r="B15" s="275"/>
      <c r="C15" s="222"/>
      <c r="D15" s="15"/>
      <c r="E15" s="15"/>
      <c r="F15" s="15"/>
      <c r="G15" s="15"/>
      <c r="H15" s="15"/>
      <c r="I15" s="15"/>
      <c r="J15" s="229">
        <f t="shared" si="0"/>
        <v>0</v>
      </c>
      <c r="L15" s="308"/>
      <c r="M15" s="88">
        <f t="shared" si="3"/>
        <v>0</v>
      </c>
      <c r="N15" s="89"/>
      <c r="O15" s="15"/>
      <c r="P15" s="15"/>
      <c r="Q15" s="15"/>
      <c r="R15" s="15"/>
      <c r="S15" s="15"/>
      <c r="T15" s="15"/>
      <c r="U15" s="229">
        <f t="shared" si="1"/>
        <v>0</v>
      </c>
      <c r="V15" s="16"/>
      <c r="W15" s="308"/>
      <c r="X15" s="88">
        <f t="shared" si="4"/>
        <v>0</v>
      </c>
      <c r="Y15" s="89"/>
      <c r="Z15" s="15"/>
      <c r="AA15" s="15"/>
      <c r="AB15" s="15"/>
      <c r="AC15" s="15"/>
      <c r="AD15" s="15"/>
      <c r="AE15" s="15"/>
      <c r="AF15" s="229">
        <f t="shared" si="2"/>
        <v>0</v>
      </c>
    </row>
    <row r="16" spans="1:38" ht="15" customHeight="1" x14ac:dyDescent="0.2">
      <c r="A16" s="317"/>
      <c r="B16" s="275" t="s">
        <v>112</v>
      </c>
      <c r="C16" s="222"/>
      <c r="D16" s="15"/>
      <c r="E16" s="15">
        <v>12</v>
      </c>
      <c r="F16" s="15">
        <v>12</v>
      </c>
      <c r="G16" s="15">
        <v>12</v>
      </c>
      <c r="H16" s="15"/>
      <c r="I16" s="15"/>
      <c r="J16" s="229">
        <f t="shared" si="0"/>
        <v>36</v>
      </c>
      <c r="L16" s="308"/>
      <c r="M16" s="88" t="str">
        <f t="shared" si="3"/>
        <v>Phd 3-year</v>
      </c>
      <c r="N16" s="89"/>
      <c r="O16" s="15"/>
      <c r="P16" s="15"/>
      <c r="Q16" s="15"/>
      <c r="R16" s="15"/>
      <c r="S16" s="15"/>
      <c r="T16" s="15"/>
      <c r="U16" s="229">
        <f t="shared" si="1"/>
        <v>0</v>
      </c>
      <c r="V16" s="16"/>
      <c r="W16" s="308"/>
      <c r="X16" s="88" t="str">
        <f t="shared" si="4"/>
        <v>Phd 3-year</v>
      </c>
      <c r="Y16" s="89"/>
      <c r="Z16" s="15"/>
      <c r="AA16" s="15"/>
      <c r="AB16" s="15"/>
      <c r="AC16" s="15"/>
      <c r="AD16" s="15"/>
      <c r="AE16" s="15"/>
      <c r="AF16" s="229">
        <f t="shared" si="2"/>
        <v>0</v>
      </c>
    </row>
    <row r="17" spans="1:32" ht="15" customHeight="1" x14ac:dyDescent="0.2">
      <c r="A17" s="317"/>
      <c r="B17" s="276" t="s">
        <v>100</v>
      </c>
      <c r="C17" s="224"/>
      <c r="D17" s="15"/>
      <c r="E17" s="15"/>
      <c r="F17" s="15"/>
      <c r="G17" s="15"/>
      <c r="H17" s="15"/>
      <c r="I17" s="15"/>
      <c r="J17" s="229">
        <f t="shared" si="0"/>
        <v>0</v>
      </c>
      <c r="L17" s="308"/>
      <c r="M17" s="88" t="str">
        <f t="shared" si="3"/>
        <v>Postdoc</v>
      </c>
      <c r="N17" s="90"/>
      <c r="O17" s="15"/>
      <c r="P17" s="15"/>
      <c r="Q17" s="15"/>
      <c r="R17" s="15"/>
      <c r="S17" s="15"/>
      <c r="T17" s="15"/>
      <c r="U17" s="229">
        <f t="shared" si="1"/>
        <v>0</v>
      </c>
      <c r="V17" s="16"/>
      <c r="W17" s="308"/>
      <c r="X17" s="88" t="str">
        <f t="shared" si="4"/>
        <v>Postdoc</v>
      </c>
      <c r="Y17" s="90"/>
      <c r="Z17" s="15"/>
      <c r="AA17" s="15"/>
      <c r="AB17" s="15"/>
      <c r="AC17" s="15"/>
      <c r="AD17" s="15"/>
      <c r="AE17" s="15"/>
      <c r="AF17" s="229">
        <f t="shared" si="2"/>
        <v>0</v>
      </c>
    </row>
    <row r="18" spans="1:32" ht="15" customHeight="1" x14ac:dyDescent="0.2">
      <c r="A18" s="317"/>
      <c r="B18" s="276" t="s">
        <v>108</v>
      </c>
      <c r="C18" s="224"/>
      <c r="D18" s="15"/>
      <c r="E18" s="15"/>
      <c r="F18" s="15"/>
      <c r="G18" s="15"/>
      <c r="H18" s="15"/>
      <c r="I18" s="15"/>
      <c r="J18" s="229">
        <f t="shared" si="0"/>
        <v>0</v>
      </c>
      <c r="L18" s="308"/>
      <c r="M18" s="88" t="str">
        <f t="shared" si="3"/>
        <v>Phd Part A</v>
      </c>
      <c r="N18" s="90"/>
      <c r="O18" s="15"/>
      <c r="P18" s="15"/>
      <c r="Q18" s="15"/>
      <c r="R18" s="15"/>
      <c r="S18" s="15"/>
      <c r="T18" s="15"/>
      <c r="U18" s="229">
        <f t="shared" si="1"/>
        <v>0</v>
      </c>
      <c r="V18" s="16"/>
      <c r="W18" s="308"/>
      <c r="X18" s="88" t="str">
        <f t="shared" si="4"/>
        <v>Phd Part A</v>
      </c>
      <c r="Y18" s="90"/>
      <c r="Z18" s="15"/>
      <c r="AA18" s="15"/>
      <c r="AB18" s="15"/>
      <c r="AC18" s="15"/>
      <c r="AD18" s="15"/>
      <c r="AE18" s="15"/>
      <c r="AF18" s="229">
        <f t="shared" si="2"/>
        <v>0</v>
      </c>
    </row>
    <row r="19" spans="1:32" ht="15" customHeight="1" thickBot="1" x14ac:dyDescent="0.25">
      <c r="A19" s="317"/>
      <c r="B19" s="277" t="s">
        <v>109</v>
      </c>
      <c r="C19" s="232"/>
      <c r="D19" s="15"/>
      <c r="E19" s="15"/>
      <c r="F19" s="15"/>
      <c r="G19" s="15"/>
      <c r="H19" s="15"/>
      <c r="I19" s="15"/>
      <c r="J19" s="230">
        <f t="shared" si="0"/>
        <v>0</v>
      </c>
      <c r="L19" s="308"/>
      <c r="M19" s="91" t="str">
        <f t="shared" si="3"/>
        <v>Phd Part B</v>
      </c>
      <c r="N19" s="90"/>
      <c r="O19" s="15"/>
      <c r="P19" s="15"/>
      <c r="Q19" s="15"/>
      <c r="R19" s="15"/>
      <c r="S19" s="15"/>
      <c r="T19" s="15"/>
      <c r="U19" s="230">
        <f t="shared" si="1"/>
        <v>0</v>
      </c>
      <c r="V19" s="16"/>
      <c r="W19" s="308"/>
      <c r="X19" s="91" t="str">
        <f t="shared" si="4"/>
        <v>Phd Part B</v>
      </c>
      <c r="Y19" s="90"/>
      <c r="Z19" s="15"/>
      <c r="AA19" s="15"/>
      <c r="AB19" s="15"/>
      <c r="AC19" s="15"/>
      <c r="AD19" s="15"/>
      <c r="AE19" s="15"/>
      <c r="AF19" s="230">
        <f t="shared" si="2"/>
        <v>0</v>
      </c>
    </row>
    <row r="20" spans="1:32" ht="15" customHeight="1" thickBot="1" x14ac:dyDescent="0.25">
      <c r="A20" s="308"/>
      <c r="B20" s="320" t="s">
        <v>30</v>
      </c>
      <c r="C20" s="321"/>
      <c r="D20" s="38"/>
      <c r="E20" s="38"/>
      <c r="F20" s="38"/>
      <c r="G20" s="38"/>
      <c r="H20" s="38"/>
      <c r="I20" s="38"/>
      <c r="J20" s="47">
        <f>SUM(J21:J23)</f>
        <v>0</v>
      </c>
      <c r="L20" s="308"/>
      <c r="M20" s="311" t="s">
        <v>30</v>
      </c>
      <c r="N20" s="312"/>
      <c r="O20" s="38"/>
      <c r="P20" s="38"/>
      <c r="Q20" s="38"/>
      <c r="R20" s="38"/>
      <c r="S20" s="38"/>
      <c r="T20" s="38"/>
      <c r="U20" s="16">
        <f>SUM(U21:U23)</f>
        <v>0</v>
      </c>
      <c r="V20" s="16"/>
      <c r="W20" s="308"/>
      <c r="X20" s="311" t="s">
        <v>30</v>
      </c>
      <c r="Y20" s="312"/>
      <c r="Z20" s="38"/>
      <c r="AA20" s="38"/>
      <c r="AB20" s="38"/>
      <c r="AC20" s="38"/>
      <c r="AD20" s="38"/>
      <c r="AE20" s="38"/>
      <c r="AF20" s="16">
        <f>SUM(AF21:AF23)</f>
        <v>0</v>
      </c>
    </row>
    <row r="21" spans="1:32" ht="15" customHeight="1" x14ac:dyDescent="0.2">
      <c r="A21" s="317"/>
      <c r="B21" s="278" t="s">
        <v>84</v>
      </c>
      <c r="C21" s="233"/>
      <c r="D21" s="15"/>
      <c r="E21" s="15"/>
      <c r="F21" s="15"/>
      <c r="G21" s="15"/>
      <c r="H21" s="15"/>
      <c r="I21" s="15"/>
      <c r="J21" s="228">
        <f t="shared" ref="J21:J22" si="5">SUM(D21:I21)</f>
        <v>0</v>
      </c>
      <c r="L21" s="308"/>
      <c r="M21" s="92" t="str">
        <f>$B21</f>
        <v>Lab. Technician</v>
      </c>
      <c r="N21" s="90"/>
      <c r="O21" s="15"/>
      <c r="P21" s="15"/>
      <c r="Q21" s="15"/>
      <c r="R21" s="15"/>
      <c r="S21" s="15"/>
      <c r="T21" s="15"/>
      <c r="U21" s="39">
        <f t="shared" ref="U21:U22" si="6">SUM(O21:T21)</f>
        <v>0</v>
      </c>
      <c r="V21" s="16"/>
      <c r="W21" s="308"/>
      <c r="X21" s="92" t="str">
        <f>$B21</f>
        <v>Lab. Technician</v>
      </c>
      <c r="Y21" s="90"/>
      <c r="Z21" s="15"/>
      <c r="AA21" s="15"/>
      <c r="AB21" s="15"/>
      <c r="AC21" s="15"/>
      <c r="AD21" s="15"/>
      <c r="AE21" s="15"/>
      <c r="AF21" s="228">
        <f t="shared" ref="AF21:AF22" si="7">SUM(Z21:AE21)</f>
        <v>0</v>
      </c>
    </row>
    <row r="22" spans="1:32" ht="15" customHeight="1" x14ac:dyDescent="0.2">
      <c r="A22" s="317"/>
      <c r="B22" s="276" t="s">
        <v>83</v>
      </c>
      <c r="C22" s="224"/>
      <c r="D22" s="15"/>
      <c r="E22" s="15"/>
      <c r="F22" s="15"/>
      <c r="G22" s="15"/>
      <c r="H22" s="15"/>
      <c r="I22" s="15"/>
      <c r="J22" s="229">
        <f t="shared" si="5"/>
        <v>0</v>
      </c>
      <c r="L22" s="308"/>
      <c r="M22" s="92" t="str">
        <f t="shared" ref="M22:M23" si="8">$B22</f>
        <v>Student assistent</v>
      </c>
      <c r="N22" s="90"/>
      <c r="O22" s="15"/>
      <c r="P22" s="15"/>
      <c r="Q22" s="15"/>
      <c r="R22" s="15"/>
      <c r="S22" s="15"/>
      <c r="T22" s="15"/>
      <c r="U22" s="16">
        <f t="shared" si="6"/>
        <v>0</v>
      </c>
      <c r="V22" s="16"/>
      <c r="W22" s="308"/>
      <c r="X22" s="92" t="str">
        <f t="shared" ref="X22:X23" si="9">$B22</f>
        <v>Student assistent</v>
      </c>
      <c r="Y22" s="90"/>
      <c r="Z22" s="15"/>
      <c r="AA22" s="15"/>
      <c r="AB22" s="15"/>
      <c r="AC22" s="15"/>
      <c r="AD22" s="15"/>
      <c r="AE22" s="15"/>
      <c r="AF22" s="229">
        <f t="shared" si="7"/>
        <v>0</v>
      </c>
    </row>
    <row r="23" spans="1:32" ht="15" customHeight="1" thickBot="1" x14ac:dyDescent="0.25">
      <c r="A23" s="317"/>
      <c r="B23" s="279"/>
      <c r="C23" s="226"/>
      <c r="D23" s="15"/>
      <c r="E23" s="15"/>
      <c r="F23" s="15"/>
      <c r="G23" s="15"/>
      <c r="H23" s="15"/>
      <c r="I23" s="15"/>
      <c r="J23" s="230">
        <f>SUM(D23:I23)</f>
        <v>0</v>
      </c>
      <c r="L23" s="308"/>
      <c r="M23" s="92">
        <f t="shared" si="8"/>
        <v>0</v>
      </c>
      <c r="N23" s="93"/>
      <c r="O23" s="15"/>
      <c r="P23" s="15"/>
      <c r="Q23" s="15"/>
      <c r="R23" s="15"/>
      <c r="S23" s="15"/>
      <c r="T23" s="15"/>
      <c r="U23" s="16">
        <f>SUM(O23:T23)</f>
        <v>0</v>
      </c>
      <c r="V23" s="16"/>
      <c r="W23" s="308"/>
      <c r="X23" s="92">
        <f t="shared" si="9"/>
        <v>0</v>
      </c>
      <c r="Y23" s="93"/>
      <c r="Z23" s="15"/>
      <c r="AA23" s="15"/>
      <c r="AB23" s="15"/>
      <c r="AC23" s="15"/>
      <c r="AD23" s="15"/>
      <c r="AE23" s="15"/>
      <c r="AF23" s="230">
        <f>SUM(Z23:AE23)</f>
        <v>0</v>
      </c>
    </row>
    <row r="24" spans="1:32" ht="15.75" customHeight="1" thickBot="1" x14ac:dyDescent="0.25">
      <c r="A24" s="308"/>
      <c r="B24" s="218" t="str">
        <f>IF(B9="Personnel - man months","Total man months","Total man hours")</f>
        <v>Total man months</v>
      </c>
      <c r="C24" s="218"/>
      <c r="D24" s="18">
        <f t="shared" ref="D24:I24" si="10">SUM(D10:D23)</f>
        <v>0</v>
      </c>
      <c r="E24" s="18">
        <f t="shared" si="10"/>
        <v>12</v>
      </c>
      <c r="F24" s="18">
        <f t="shared" si="10"/>
        <v>12</v>
      </c>
      <c r="G24" s="18">
        <f t="shared" si="10"/>
        <v>12</v>
      </c>
      <c r="H24" s="18">
        <f t="shared" si="10"/>
        <v>0</v>
      </c>
      <c r="I24" s="18">
        <f t="shared" si="10"/>
        <v>0</v>
      </c>
      <c r="J24" s="227">
        <f>SUM(D24:I24)</f>
        <v>36</v>
      </c>
      <c r="L24" s="308"/>
      <c r="M24" s="17" t="str">
        <f>IF(M9="Personnel - man months","Total man months","Total man hours")</f>
        <v>Total man months</v>
      </c>
      <c r="N24" s="17"/>
      <c r="O24" s="18">
        <f t="shared" ref="O24:T24" si="11">SUM(O10:O23)</f>
        <v>1</v>
      </c>
      <c r="P24" s="18">
        <f t="shared" si="11"/>
        <v>2</v>
      </c>
      <c r="Q24" s="18">
        <f t="shared" si="11"/>
        <v>2</v>
      </c>
      <c r="R24" s="18">
        <f t="shared" si="11"/>
        <v>2</v>
      </c>
      <c r="S24" s="18">
        <f t="shared" si="11"/>
        <v>2</v>
      </c>
      <c r="T24" s="18">
        <f t="shared" si="11"/>
        <v>0</v>
      </c>
      <c r="U24" s="18">
        <f>SUM(O24:T24)</f>
        <v>9</v>
      </c>
      <c r="V24" s="16"/>
      <c r="W24" s="308"/>
      <c r="X24" s="17" t="str">
        <f>IF(X9="Personnel - man months","Total man months","Total man hours")</f>
        <v>Total man months</v>
      </c>
      <c r="Y24" s="17"/>
      <c r="Z24" s="18">
        <f t="shared" ref="Z24:AE24" si="12">SUM(Z10:Z23)</f>
        <v>0</v>
      </c>
      <c r="AA24" s="18">
        <f t="shared" si="12"/>
        <v>0</v>
      </c>
      <c r="AB24" s="18">
        <f t="shared" si="12"/>
        <v>0</v>
      </c>
      <c r="AC24" s="18">
        <f t="shared" si="12"/>
        <v>0</v>
      </c>
      <c r="AD24" s="18">
        <f t="shared" si="12"/>
        <v>0</v>
      </c>
      <c r="AE24" s="18">
        <f t="shared" si="12"/>
        <v>0</v>
      </c>
      <c r="AF24" s="241">
        <f>SUM(Z24:AE24)</f>
        <v>0</v>
      </c>
    </row>
    <row r="25" spans="1:32" ht="15" customHeight="1" x14ac:dyDescent="0.2">
      <c r="A25" s="308"/>
      <c r="B25" s="19" t="s">
        <v>10</v>
      </c>
      <c r="C25" s="19" t="str">
        <f>IF(B9="Personnel - man months","Monthly salary (2018)","Hourly rate (2017)")</f>
        <v>Monthly salary (2018)</v>
      </c>
      <c r="D25" s="13">
        <f t="shared" ref="D25:I25" si="13">+D9</f>
        <v>2019</v>
      </c>
      <c r="E25" s="13">
        <f t="shared" si="13"/>
        <v>2020</v>
      </c>
      <c r="F25" s="13">
        <f t="shared" si="13"/>
        <v>2021</v>
      </c>
      <c r="G25" s="13">
        <f t="shared" si="13"/>
        <v>2022</v>
      </c>
      <c r="H25" s="13">
        <f t="shared" si="13"/>
        <v>2023</v>
      </c>
      <c r="I25" s="13">
        <f t="shared" si="13"/>
        <v>2024</v>
      </c>
      <c r="J25" s="46" t="s">
        <v>11</v>
      </c>
      <c r="L25" s="308"/>
      <c r="M25" s="37" t="s">
        <v>10</v>
      </c>
      <c r="N25" s="213" t="str">
        <f>IF(M9="Personnel - man months","Monthly salary (2018)","Hourly rate (2017)")</f>
        <v>Monthly salary (2018)</v>
      </c>
      <c r="O25" s="13">
        <f t="shared" ref="O25:T25" si="14">+O9</f>
        <v>2019</v>
      </c>
      <c r="P25" s="13">
        <f t="shared" si="14"/>
        <v>2020</v>
      </c>
      <c r="Q25" s="13">
        <f t="shared" si="14"/>
        <v>2021</v>
      </c>
      <c r="R25" s="13">
        <f t="shared" si="14"/>
        <v>2022</v>
      </c>
      <c r="S25" s="13">
        <f t="shared" si="14"/>
        <v>2023</v>
      </c>
      <c r="T25" s="13">
        <f t="shared" si="14"/>
        <v>2024</v>
      </c>
      <c r="U25" s="13" t="s">
        <v>11</v>
      </c>
      <c r="V25" s="14"/>
      <c r="W25" s="308"/>
      <c r="X25" s="37" t="s">
        <v>10</v>
      </c>
      <c r="Y25" s="213" t="str">
        <f>IF(X9="Personnel - man months","Monthly salary (2018)","Hourly rate (2017)")</f>
        <v>Monthly salary (2018)</v>
      </c>
      <c r="Z25" s="13">
        <f t="shared" ref="Z25:AE25" si="15">+Z9</f>
        <v>2019</v>
      </c>
      <c r="AA25" s="13">
        <f t="shared" si="15"/>
        <v>2020</v>
      </c>
      <c r="AB25" s="13">
        <f t="shared" si="15"/>
        <v>2021</v>
      </c>
      <c r="AC25" s="13">
        <f t="shared" si="15"/>
        <v>2022</v>
      </c>
      <c r="AD25" s="13">
        <f t="shared" si="15"/>
        <v>2023</v>
      </c>
      <c r="AE25" s="13">
        <f t="shared" si="15"/>
        <v>2024</v>
      </c>
      <c r="AF25" s="13" t="s">
        <v>11</v>
      </c>
    </row>
    <row r="26" spans="1:32" ht="15" customHeight="1" thickBot="1" x14ac:dyDescent="0.25">
      <c r="A26" s="308"/>
      <c r="B26" s="311" t="s">
        <v>29</v>
      </c>
      <c r="C26" s="312"/>
      <c r="D26" s="242">
        <f>SUM(D27:D35)</f>
        <v>0</v>
      </c>
      <c r="E26" s="242">
        <f t="shared" ref="E26:I26" si="16">SUM(E27:E35)</f>
        <v>408927.13919999998</v>
      </c>
      <c r="F26" s="242">
        <f t="shared" si="16"/>
        <v>417105.68198399991</v>
      </c>
      <c r="G26" s="242">
        <f t="shared" si="16"/>
        <v>425447.79562367999</v>
      </c>
      <c r="H26" s="242">
        <f t="shared" si="16"/>
        <v>0</v>
      </c>
      <c r="I26" s="242">
        <f t="shared" si="16"/>
        <v>0</v>
      </c>
      <c r="J26" s="49">
        <f>SUM(J27:J35)</f>
        <v>1251480.6168076799</v>
      </c>
      <c r="K26" s="23"/>
      <c r="L26" s="308"/>
      <c r="M26" s="311" t="s">
        <v>29</v>
      </c>
      <c r="N26" s="312"/>
      <c r="O26" s="41">
        <f>SUM(O27:O35)</f>
        <v>56778.3</v>
      </c>
      <c r="P26" s="41">
        <f t="shared" ref="P26" si="17">SUM(P27:P35)</f>
        <v>115827.732</v>
      </c>
      <c r="Q26" s="41">
        <f t="shared" ref="Q26" si="18">SUM(Q27:Q35)</f>
        <v>118144.28663999999</v>
      </c>
      <c r="R26" s="41">
        <f t="shared" ref="R26" si="19">SUM(R27:R35)</f>
        <v>120507.17237279999</v>
      </c>
      <c r="S26" s="41">
        <f t="shared" ref="S26" si="20">SUM(S27:S35)</f>
        <v>122917.315820256</v>
      </c>
      <c r="T26" s="41">
        <f t="shared" ref="T26" si="21">SUM(T27:T35)</f>
        <v>0</v>
      </c>
      <c r="U26" s="236">
        <f>SUM(U27:U35)</f>
        <v>534174.80683305603</v>
      </c>
      <c r="V26" s="22"/>
      <c r="W26" s="308"/>
      <c r="X26" s="311" t="s">
        <v>29</v>
      </c>
      <c r="Y26" s="312"/>
      <c r="Z26" s="41">
        <f>SUM(Z27:Z35)</f>
        <v>0</v>
      </c>
      <c r="AA26" s="41">
        <f t="shared" ref="AA26" si="22">SUM(AA27:AA35)</f>
        <v>0</v>
      </c>
      <c r="AB26" s="41">
        <f t="shared" ref="AB26" si="23">SUM(AB27:AB35)</f>
        <v>0</v>
      </c>
      <c r="AC26" s="41">
        <f t="shared" ref="AC26" si="24">SUM(AC27:AC35)</f>
        <v>0</v>
      </c>
      <c r="AD26" s="41">
        <f t="shared" ref="AD26" si="25">SUM(AD27:AD35)</f>
        <v>0</v>
      </c>
      <c r="AE26" s="41">
        <f t="shared" ref="AE26" si="26">SUM(AE27:AE35)</f>
        <v>0</v>
      </c>
      <c r="AF26" s="236">
        <f>SUM(AF27:AF35)</f>
        <v>0</v>
      </c>
    </row>
    <row r="27" spans="1:32" ht="15" customHeight="1" x14ac:dyDescent="0.2">
      <c r="A27" s="308"/>
      <c r="B27" s="20" t="str">
        <f>B11</f>
        <v xml:space="preserve">Kasper Munch Terkelsen </v>
      </c>
      <c r="C27" s="21"/>
      <c r="D27" s="244">
        <f>(C27*(1+C40))*D11</f>
        <v>0</v>
      </c>
      <c r="E27" s="245">
        <f>(C27*(1+C40)^2)*E11</f>
        <v>0</v>
      </c>
      <c r="F27" s="245">
        <f>(C27*(1+C40)^3)*F11</f>
        <v>0</v>
      </c>
      <c r="G27" s="245">
        <f>(C27*(1+C40)^4)*G11</f>
        <v>0</v>
      </c>
      <c r="H27" s="245">
        <f>(C27*(1+C40)^5)*H11</f>
        <v>0</v>
      </c>
      <c r="I27" s="246">
        <f>(C27*(1+C40)^6)*I11</f>
        <v>0</v>
      </c>
      <c r="J27" s="50">
        <f t="shared" ref="J27:J39" si="27">SUM(D27:I27)</f>
        <v>0</v>
      </c>
      <c r="K27" s="23"/>
      <c r="L27" s="308"/>
      <c r="M27" s="20" t="str">
        <f>M11</f>
        <v xml:space="preserve">Kasper Munch Terkelsen </v>
      </c>
      <c r="N27" s="21">
        <v>55665</v>
      </c>
      <c r="O27" s="22">
        <f>($N27*(1+$N$40))*O11</f>
        <v>56778.3</v>
      </c>
      <c r="P27" s="22">
        <f>($N27*(1+$N$40)^2)*P11</f>
        <v>115827.732</v>
      </c>
      <c r="Q27" s="22">
        <f>($N27*(1+$N$40)^3)*Q11</f>
        <v>118144.28663999999</v>
      </c>
      <c r="R27" s="22">
        <f>($N27*(1+$N$40)^4)*R11</f>
        <v>120507.17237279999</v>
      </c>
      <c r="S27" s="22">
        <f>($N27*(1+$N$40)^5)*S11</f>
        <v>122917.315820256</v>
      </c>
      <c r="T27" s="22">
        <f>($N27*(1+$N$40)^6)*T11</f>
        <v>0</v>
      </c>
      <c r="U27" s="237">
        <f t="shared" ref="U27:U35" si="28">SUM(O27:T27)</f>
        <v>534174.80683305603</v>
      </c>
      <c r="V27" s="22"/>
      <c r="W27" s="308"/>
      <c r="X27" s="20" t="str">
        <f>X11</f>
        <v xml:space="preserve">Kasper Munch Terkelsen </v>
      </c>
      <c r="Y27" s="21"/>
      <c r="Z27" s="22">
        <f>($Y27*(1+$Y$40))*Z11</f>
        <v>0</v>
      </c>
      <c r="AA27" s="22">
        <f>($Y27*(1+$Y$40)^2)*AA11</f>
        <v>0</v>
      </c>
      <c r="AB27" s="22">
        <f>($Y27*(1+$Y$40)^3)*AB11</f>
        <v>0</v>
      </c>
      <c r="AC27" s="22">
        <f>($Y27*(1+$Y$40)^4)*AC11</f>
        <v>0</v>
      </c>
      <c r="AD27" s="22">
        <f>($Y27*(1+$Y$40)^5)*AD11</f>
        <v>0</v>
      </c>
      <c r="AE27" s="22">
        <f>($Y27*(1+$Y40)^6)*AE11</f>
        <v>0</v>
      </c>
      <c r="AF27" s="237">
        <f t="shared" ref="AF27:AF35" si="29">SUM(Z27:AE27)</f>
        <v>0</v>
      </c>
    </row>
    <row r="28" spans="1:32" ht="15" customHeight="1" x14ac:dyDescent="0.2">
      <c r="A28" s="308"/>
      <c r="B28" s="20">
        <f>B12</f>
        <v>0</v>
      </c>
      <c r="C28" s="21"/>
      <c r="D28" s="247">
        <f>(C28*(1+$C$40))*D12</f>
        <v>0</v>
      </c>
      <c r="E28" s="22">
        <f>(C28*(1+$C$40)^2)*E12</f>
        <v>0</v>
      </c>
      <c r="F28" s="22">
        <f>(C28*(1+$C$40)^3)*F12</f>
        <v>0</v>
      </c>
      <c r="G28" s="22">
        <f>(C28*(1+$C$40)^4)*G12</f>
        <v>0</v>
      </c>
      <c r="H28" s="22">
        <f>(C28*(1+$C$40)^5)*H12</f>
        <v>0</v>
      </c>
      <c r="I28" s="248">
        <f>(C28*(1+$C$40)^6)*I12</f>
        <v>0</v>
      </c>
      <c r="J28" s="50">
        <f t="shared" si="27"/>
        <v>0</v>
      </c>
      <c r="K28" s="23"/>
      <c r="L28" s="308"/>
      <c r="M28" s="20">
        <f>M12</f>
        <v>0</v>
      </c>
      <c r="N28" s="21"/>
      <c r="O28" s="22">
        <f t="shared" ref="O28:O35" si="30">($N28*(1+$N$40))*O12</f>
        <v>0</v>
      </c>
      <c r="P28" s="22">
        <f t="shared" ref="P28:P35" si="31">($N28*(1+$N$40)^2)*P12</f>
        <v>0</v>
      </c>
      <c r="Q28" s="22">
        <f t="shared" ref="Q28:Q35" si="32">($N28*(1+$N$40)^3)*Q12</f>
        <v>0</v>
      </c>
      <c r="R28" s="22">
        <f t="shared" ref="R28:R35" si="33">($N28*(1+$N$40)^4)*R12</f>
        <v>0</v>
      </c>
      <c r="S28" s="22">
        <f t="shared" ref="S28:S35" si="34">($N28*(1+$N$40)^5)*S12</f>
        <v>0</v>
      </c>
      <c r="T28" s="22">
        <f t="shared" ref="T28:T35" si="35">($N28*(1+$N$40)^6)*T12</f>
        <v>0</v>
      </c>
      <c r="U28" s="238">
        <f t="shared" si="28"/>
        <v>0</v>
      </c>
      <c r="V28" s="22"/>
      <c r="W28" s="308"/>
      <c r="X28" s="20">
        <f>X12</f>
        <v>0</v>
      </c>
      <c r="Y28" s="21"/>
      <c r="Z28" s="22">
        <f t="shared" ref="Z28:Z35" si="36">($Y28*(1+$Y$40))*Z12</f>
        <v>0</v>
      </c>
      <c r="AA28" s="22">
        <f t="shared" ref="AA28:AA35" si="37">($Y28*(1+$Y$40)^2)*AA12</f>
        <v>0</v>
      </c>
      <c r="AB28" s="22">
        <f t="shared" ref="AB28:AB35" si="38">($Y28*(1+$Y$40)^3)*AB12</f>
        <v>0</v>
      </c>
      <c r="AC28" s="22">
        <f t="shared" ref="AC28:AC35" si="39">($Y28*(1+$Y$40)^4)*AC12</f>
        <v>0</v>
      </c>
      <c r="AD28" s="22">
        <f t="shared" ref="AD28:AD35" si="40">($Y28*(1+$Y$40)^5)*AD12</f>
        <v>0</v>
      </c>
      <c r="AE28" s="22">
        <f t="shared" ref="AE28:AE35" si="41">($Y28*(1+$Y41)^6)*AE12</f>
        <v>0</v>
      </c>
      <c r="AF28" s="238">
        <f t="shared" si="29"/>
        <v>0</v>
      </c>
    </row>
    <row r="29" spans="1:32" ht="15" customHeight="1" x14ac:dyDescent="0.2">
      <c r="A29" s="308"/>
      <c r="B29" s="20">
        <f>B13</f>
        <v>0</v>
      </c>
      <c r="C29" s="21"/>
      <c r="D29" s="247">
        <f>(C29*(1+$C$40))*D13</f>
        <v>0</v>
      </c>
      <c r="E29" s="22">
        <f>(C29*(1+$C$40)^2)*E13</f>
        <v>0</v>
      </c>
      <c r="F29" s="22">
        <f>(C29*(1+$C$40)^3)*F13</f>
        <v>0</v>
      </c>
      <c r="G29" s="22">
        <f>(C29*(1+$C$40)^4)*G13</f>
        <v>0</v>
      </c>
      <c r="H29" s="22">
        <f>(C29*(1+$C$40)^5)*H13</f>
        <v>0</v>
      </c>
      <c r="I29" s="248">
        <f>(C29*(1+$C$40)^6)*I13</f>
        <v>0</v>
      </c>
      <c r="J29" s="50">
        <f t="shared" si="27"/>
        <v>0</v>
      </c>
      <c r="K29" s="23"/>
      <c r="L29" s="308"/>
      <c r="M29" s="20">
        <f>M13</f>
        <v>0</v>
      </c>
      <c r="N29" s="21"/>
      <c r="O29" s="22">
        <f t="shared" si="30"/>
        <v>0</v>
      </c>
      <c r="P29" s="22">
        <f t="shared" si="31"/>
        <v>0</v>
      </c>
      <c r="Q29" s="22">
        <f t="shared" si="32"/>
        <v>0</v>
      </c>
      <c r="R29" s="22">
        <f t="shared" si="33"/>
        <v>0</v>
      </c>
      <c r="S29" s="22">
        <f t="shared" si="34"/>
        <v>0</v>
      </c>
      <c r="T29" s="22">
        <f t="shared" si="35"/>
        <v>0</v>
      </c>
      <c r="U29" s="238">
        <f t="shared" si="28"/>
        <v>0</v>
      </c>
      <c r="V29" s="22"/>
      <c r="W29" s="308"/>
      <c r="X29" s="20">
        <f>X13</f>
        <v>0</v>
      </c>
      <c r="Y29" s="21"/>
      <c r="Z29" s="22">
        <f t="shared" si="36"/>
        <v>0</v>
      </c>
      <c r="AA29" s="22">
        <f t="shared" si="37"/>
        <v>0</v>
      </c>
      <c r="AB29" s="22">
        <f t="shared" si="38"/>
        <v>0</v>
      </c>
      <c r="AC29" s="22">
        <f t="shared" si="39"/>
        <v>0</v>
      </c>
      <c r="AD29" s="22">
        <f t="shared" si="40"/>
        <v>0</v>
      </c>
      <c r="AE29" s="22">
        <f t="shared" si="41"/>
        <v>0</v>
      </c>
      <c r="AF29" s="238">
        <f t="shared" si="29"/>
        <v>0</v>
      </c>
    </row>
    <row r="30" spans="1:32" ht="15" customHeight="1" x14ac:dyDescent="0.2">
      <c r="A30" s="308"/>
      <c r="B30" s="20">
        <f t="shared" ref="B30:B35" si="42">B14</f>
        <v>0</v>
      </c>
      <c r="C30" s="21"/>
      <c r="D30" s="247">
        <f t="shared" ref="D30:D35" si="43">(C30*(1+$C$40))*D14</f>
        <v>0</v>
      </c>
      <c r="E30" s="22">
        <f t="shared" ref="E30:E35" si="44">(C30*(1+$C$40)^2)*E14</f>
        <v>0</v>
      </c>
      <c r="F30" s="22">
        <f t="shared" ref="F30:F33" si="45">(C30*(1+$C$40)^3)*F14</f>
        <v>0</v>
      </c>
      <c r="G30" s="22">
        <f t="shared" ref="G30:G35" si="46">(C30*(1+$C$40)^4)*G14</f>
        <v>0</v>
      </c>
      <c r="H30" s="22">
        <f t="shared" ref="H30:H35" si="47">(C30*(1+$C$40)^5)*H14</f>
        <v>0</v>
      </c>
      <c r="I30" s="248">
        <f t="shared" ref="I30:I35" si="48">(C30*(1+$C$40)^6)*I14</f>
        <v>0</v>
      </c>
      <c r="J30" s="50">
        <f t="shared" si="27"/>
        <v>0</v>
      </c>
      <c r="K30" s="23"/>
      <c r="L30" s="308"/>
      <c r="M30" s="20">
        <f t="shared" ref="M30:M35" si="49">M14</f>
        <v>0</v>
      </c>
      <c r="N30" s="21"/>
      <c r="O30" s="22">
        <f t="shared" si="30"/>
        <v>0</v>
      </c>
      <c r="P30" s="22">
        <f t="shared" si="31"/>
        <v>0</v>
      </c>
      <c r="Q30" s="22">
        <f t="shared" si="32"/>
        <v>0</v>
      </c>
      <c r="R30" s="22">
        <f t="shared" si="33"/>
        <v>0</v>
      </c>
      <c r="S30" s="22">
        <f t="shared" si="34"/>
        <v>0</v>
      </c>
      <c r="T30" s="22">
        <f t="shared" si="35"/>
        <v>0</v>
      </c>
      <c r="U30" s="238">
        <f t="shared" si="28"/>
        <v>0</v>
      </c>
      <c r="V30" s="22"/>
      <c r="W30" s="308"/>
      <c r="X30" s="20">
        <f t="shared" ref="X30:X35" si="50">X14</f>
        <v>0</v>
      </c>
      <c r="Y30" s="21"/>
      <c r="Z30" s="22">
        <f t="shared" si="36"/>
        <v>0</v>
      </c>
      <c r="AA30" s="22">
        <f t="shared" si="37"/>
        <v>0</v>
      </c>
      <c r="AB30" s="22">
        <f t="shared" si="38"/>
        <v>0</v>
      </c>
      <c r="AC30" s="22">
        <f t="shared" si="39"/>
        <v>0</v>
      </c>
      <c r="AD30" s="22">
        <f t="shared" si="40"/>
        <v>0</v>
      </c>
      <c r="AE30" s="22">
        <f t="shared" si="41"/>
        <v>0</v>
      </c>
      <c r="AF30" s="238">
        <f t="shared" si="29"/>
        <v>0</v>
      </c>
    </row>
    <row r="31" spans="1:32" ht="15" customHeight="1" x14ac:dyDescent="0.2">
      <c r="A31" s="308"/>
      <c r="B31" s="20">
        <f t="shared" si="42"/>
        <v>0</v>
      </c>
      <c r="C31" s="21"/>
      <c r="D31" s="247">
        <f>(C31*(1+$C$40))*D15</f>
        <v>0</v>
      </c>
      <c r="E31" s="22">
        <f t="shared" si="44"/>
        <v>0</v>
      </c>
      <c r="F31" s="22">
        <f t="shared" si="45"/>
        <v>0</v>
      </c>
      <c r="G31" s="22">
        <f t="shared" si="46"/>
        <v>0</v>
      </c>
      <c r="H31" s="22">
        <f t="shared" si="47"/>
        <v>0</v>
      </c>
      <c r="I31" s="248">
        <f t="shared" si="48"/>
        <v>0</v>
      </c>
      <c r="J31" s="50">
        <f t="shared" si="27"/>
        <v>0</v>
      </c>
      <c r="K31" s="23"/>
      <c r="L31" s="308"/>
      <c r="M31" s="20">
        <f t="shared" si="49"/>
        <v>0</v>
      </c>
      <c r="N31" s="21"/>
      <c r="O31" s="22">
        <f t="shared" si="30"/>
        <v>0</v>
      </c>
      <c r="P31" s="22">
        <f t="shared" si="31"/>
        <v>0</v>
      </c>
      <c r="Q31" s="22">
        <f t="shared" si="32"/>
        <v>0</v>
      </c>
      <c r="R31" s="22">
        <f t="shared" si="33"/>
        <v>0</v>
      </c>
      <c r="S31" s="22">
        <f t="shared" si="34"/>
        <v>0</v>
      </c>
      <c r="T31" s="22">
        <f t="shared" si="35"/>
        <v>0</v>
      </c>
      <c r="U31" s="238">
        <f t="shared" si="28"/>
        <v>0</v>
      </c>
      <c r="V31" s="22"/>
      <c r="W31" s="308"/>
      <c r="X31" s="20">
        <f t="shared" si="50"/>
        <v>0</v>
      </c>
      <c r="Y31" s="21"/>
      <c r="Z31" s="22">
        <f t="shared" si="36"/>
        <v>0</v>
      </c>
      <c r="AA31" s="22">
        <f t="shared" si="37"/>
        <v>0</v>
      </c>
      <c r="AB31" s="22">
        <f t="shared" si="38"/>
        <v>0</v>
      </c>
      <c r="AC31" s="22">
        <f t="shared" si="39"/>
        <v>0</v>
      </c>
      <c r="AD31" s="22">
        <f t="shared" si="40"/>
        <v>0</v>
      </c>
      <c r="AE31" s="22">
        <f t="shared" si="41"/>
        <v>0</v>
      </c>
      <c r="AF31" s="238">
        <f t="shared" si="29"/>
        <v>0</v>
      </c>
    </row>
    <row r="32" spans="1:32" ht="15" customHeight="1" x14ac:dyDescent="0.2">
      <c r="A32" s="308"/>
      <c r="B32" s="20" t="s">
        <v>112</v>
      </c>
      <c r="C32" s="21">
        <v>32754</v>
      </c>
      <c r="D32" s="247">
        <f t="shared" si="43"/>
        <v>0</v>
      </c>
      <c r="E32" s="22">
        <f t="shared" si="44"/>
        <v>408927.13919999998</v>
      </c>
      <c r="F32" s="22">
        <f t="shared" si="45"/>
        <v>417105.68198399991</v>
      </c>
      <c r="G32" s="22">
        <f t="shared" si="46"/>
        <v>425447.79562367999</v>
      </c>
      <c r="H32" s="22">
        <f t="shared" si="47"/>
        <v>0</v>
      </c>
      <c r="I32" s="248">
        <f t="shared" si="48"/>
        <v>0</v>
      </c>
      <c r="J32" s="50">
        <f t="shared" si="27"/>
        <v>1251480.6168076799</v>
      </c>
      <c r="K32" s="23"/>
      <c r="L32" s="308"/>
      <c r="M32" s="20" t="str">
        <f t="shared" si="49"/>
        <v>Phd 3-year</v>
      </c>
      <c r="N32" s="21"/>
      <c r="O32" s="22">
        <f t="shared" si="30"/>
        <v>0</v>
      </c>
      <c r="P32" s="22">
        <f t="shared" si="31"/>
        <v>0</v>
      </c>
      <c r="Q32" s="22">
        <f t="shared" si="32"/>
        <v>0</v>
      </c>
      <c r="R32" s="22">
        <f t="shared" si="33"/>
        <v>0</v>
      </c>
      <c r="S32" s="22">
        <f t="shared" si="34"/>
        <v>0</v>
      </c>
      <c r="T32" s="22">
        <f t="shared" si="35"/>
        <v>0</v>
      </c>
      <c r="U32" s="238">
        <f t="shared" si="28"/>
        <v>0</v>
      </c>
      <c r="V32" s="22"/>
      <c r="W32" s="308"/>
      <c r="X32" s="20" t="str">
        <f t="shared" si="50"/>
        <v>Phd 3-year</v>
      </c>
      <c r="Y32" s="21"/>
      <c r="Z32" s="22">
        <f t="shared" si="36"/>
        <v>0</v>
      </c>
      <c r="AA32" s="22">
        <f t="shared" si="37"/>
        <v>0</v>
      </c>
      <c r="AB32" s="22">
        <f t="shared" si="38"/>
        <v>0</v>
      </c>
      <c r="AC32" s="22">
        <f t="shared" si="39"/>
        <v>0</v>
      </c>
      <c r="AD32" s="22">
        <f t="shared" si="40"/>
        <v>0</v>
      </c>
      <c r="AE32" s="22">
        <f t="shared" si="41"/>
        <v>0</v>
      </c>
      <c r="AF32" s="238">
        <f t="shared" si="29"/>
        <v>0</v>
      </c>
    </row>
    <row r="33" spans="1:32" ht="15" customHeight="1" x14ac:dyDescent="0.2">
      <c r="A33" s="308"/>
      <c r="B33" s="20" t="str">
        <f t="shared" si="42"/>
        <v>Postdoc</v>
      </c>
      <c r="C33" s="21">
        <v>43543</v>
      </c>
      <c r="D33" s="247">
        <f t="shared" si="43"/>
        <v>0</v>
      </c>
      <c r="E33" s="22">
        <f t="shared" si="44"/>
        <v>0</v>
      </c>
      <c r="F33" s="22">
        <f t="shared" si="45"/>
        <v>0</v>
      </c>
      <c r="G33" s="22">
        <f t="shared" si="46"/>
        <v>0</v>
      </c>
      <c r="H33" s="22">
        <f t="shared" si="47"/>
        <v>0</v>
      </c>
      <c r="I33" s="248">
        <f t="shared" si="48"/>
        <v>0</v>
      </c>
      <c r="J33" s="50">
        <f t="shared" si="27"/>
        <v>0</v>
      </c>
      <c r="K33" s="23"/>
      <c r="L33" s="308"/>
      <c r="M33" s="20" t="str">
        <f t="shared" si="49"/>
        <v>Postdoc</v>
      </c>
      <c r="N33" s="21">
        <f>C33</f>
        <v>43543</v>
      </c>
      <c r="O33" s="22">
        <f t="shared" si="30"/>
        <v>0</v>
      </c>
      <c r="P33" s="22">
        <f t="shared" si="31"/>
        <v>0</v>
      </c>
      <c r="Q33" s="22">
        <f t="shared" si="32"/>
        <v>0</v>
      </c>
      <c r="R33" s="22">
        <f t="shared" si="33"/>
        <v>0</v>
      </c>
      <c r="S33" s="22">
        <f t="shared" si="34"/>
        <v>0</v>
      </c>
      <c r="T33" s="22">
        <f t="shared" si="35"/>
        <v>0</v>
      </c>
      <c r="U33" s="238">
        <f t="shared" si="28"/>
        <v>0</v>
      </c>
      <c r="V33" s="22"/>
      <c r="W33" s="308"/>
      <c r="X33" s="20" t="str">
        <f t="shared" si="50"/>
        <v>Postdoc</v>
      </c>
      <c r="Y33" s="21"/>
      <c r="Z33" s="22">
        <f t="shared" si="36"/>
        <v>0</v>
      </c>
      <c r="AA33" s="22">
        <f t="shared" si="37"/>
        <v>0</v>
      </c>
      <c r="AB33" s="22">
        <f t="shared" si="38"/>
        <v>0</v>
      </c>
      <c r="AC33" s="22">
        <f t="shared" si="39"/>
        <v>0</v>
      </c>
      <c r="AD33" s="22">
        <f t="shared" si="40"/>
        <v>0</v>
      </c>
      <c r="AE33" s="22">
        <f t="shared" si="41"/>
        <v>0</v>
      </c>
      <c r="AF33" s="238">
        <f t="shared" si="29"/>
        <v>0</v>
      </c>
    </row>
    <row r="34" spans="1:32" ht="15" customHeight="1" x14ac:dyDescent="0.2">
      <c r="A34" s="308"/>
      <c r="B34" s="20" t="str">
        <f t="shared" si="42"/>
        <v>Phd Part A</v>
      </c>
      <c r="C34" s="21">
        <v>32238</v>
      </c>
      <c r="D34" s="247">
        <f>(C34*(1+$C$40))*D18/2</f>
        <v>0</v>
      </c>
      <c r="E34" s="22">
        <f>(C34*(1+$C$40)^2)*E18/2</f>
        <v>0</v>
      </c>
      <c r="F34" s="22">
        <f>(C34*(1+$C$40)^3)*F18/2</f>
        <v>0</v>
      </c>
      <c r="G34" s="22">
        <f t="shared" si="46"/>
        <v>0</v>
      </c>
      <c r="H34" s="22">
        <f t="shared" si="47"/>
        <v>0</v>
      </c>
      <c r="I34" s="248">
        <f t="shared" si="48"/>
        <v>0</v>
      </c>
      <c r="J34" s="50">
        <f t="shared" si="27"/>
        <v>0</v>
      </c>
      <c r="K34" s="23"/>
      <c r="L34" s="308"/>
      <c r="M34" s="20" t="str">
        <f t="shared" si="49"/>
        <v>Phd Part A</v>
      </c>
      <c r="N34" s="21">
        <f>C34</f>
        <v>32238</v>
      </c>
      <c r="O34" s="22">
        <f t="shared" si="30"/>
        <v>0</v>
      </c>
      <c r="P34" s="22">
        <f t="shared" si="31"/>
        <v>0</v>
      </c>
      <c r="Q34" s="22">
        <f t="shared" si="32"/>
        <v>0</v>
      </c>
      <c r="R34" s="22">
        <f t="shared" si="33"/>
        <v>0</v>
      </c>
      <c r="S34" s="22">
        <f t="shared" si="34"/>
        <v>0</v>
      </c>
      <c r="T34" s="22">
        <f t="shared" si="35"/>
        <v>0</v>
      </c>
      <c r="U34" s="238">
        <f t="shared" si="28"/>
        <v>0</v>
      </c>
      <c r="V34" s="22"/>
      <c r="W34" s="308"/>
      <c r="X34" s="20" t="str">
        <f t="shared" si="50"/>
        <v>Phd Part A</v>
      </c>
      <c r="Y34" s="21"/>
      <c r="Z34" s="22">
        <f t="shared" si="36"/>
        <v>0</v>
      </c>
      <c r="AA34" s="22">
        <f t="shared" si="37"/>
        <v>0</v>
      </c>
      <c r="AB34" s="22">
        <f t="shared" si="38"/>
        <v>0</v>
      </c>
      <c r="AC34" s="22">
        <f t="shared" si="39"/>
        <v>0</v>
      </c>
      <c r="AD34" s="22">
        <f t="shared" si="40"/>
        <v>0</v>
      </c>
      <c r="AE34" s="22">
        <f t="shared" si="41"/>
        <v>0</v>
      </c>
      <c r="AF34" s="238">
        <f t="shared" si="29"/>
        <v>0</v>
      </c>
    </row>
    <row r="35" spans="1:32" ht="15" customHeight="1" thickBot="1" x14ac:dyDescent="0.25">
      <c r="A35" s="308"/>
      <c r="B35" s="20" t="str">
        <f t="shared" si="42"/>
        <v>Phd Part B</v>
      </c>
      <c r="C35" s="21">
        <v>32238</v>
      </c>
      <c r="D35" s="249">
        <f t="shared" si="43"/>
        <v>0</v>
      </c>
      <c r="E35" s="250">
        <f t="shared" si="44"/>
        <v>0</v>
      </c>
      <c r="F35" s="250">
        <f>(C35*(1+$C$40)^3)*F19</f>
        <v>0</v>
      </c>
      <c r="G35" s="250">
        <f t="shared" si="46"/>
        <v>0</v>
      </c>
      <c r="H35" s="250">
        <f t="shared" si="47"/>
        <v>0</v>
      </c>
      <c r="I35" s="251">
        <f t="shared" si="48"/>
        <v>0</v>
      </c>
      <c r="J35" s="50">
        <f t="shared" si="27"/>
        <v>0</v>
      </c>
      <c r="K35" s="23"/>
      <c r="L35" s="308"/>
      <c r="M35" s="20" t="str">
        <f t="shared" si="49"/>
        <v>Phd Part B</v>
      </c>
      <c r="N35" s="21">
        <f>C35</f>
        <v>32238</v>
      </c>
      <c r="O35" s="22">
        <f t="shared" si="30"/>
        <v>0</v>
      </c>
      <c r="P35" s="22">
        <f t="shared" si="31"/>
        <v>0</v>
      </c>
      <c r="Q35" s="22">
        <f t="shared" si="32"/>
        <v>0</v>
      </c>
      <c r="R35" s="22">
        <f t="shared" si="33"/>
        <v>0</v>
      </c>
      <c r="S35" s="22">
        <f t="shared" si="34"/>
        <v>0</v>
      </c>
      <c r="T35" s="22">
        <f t="shared" si="35"/>
        <v>0</v>
      </c>
      <c r="U35" s="239">
        <f t="shared" si="28"/>
        <v>0</v>
      </c>
      <c r="V35" s="22"/>
      <c r="W35" s="308"/>
      <c r="X35" s="20" t="str">
        <f t="shared" si="50"/>
        <v>Phd Part B</v>
      </c>
      <c r="Y35" s="21"/>
      <c r="Z35" s="22">
        <f t="shared" si="36"/>
        <v>0</v>
      </c>
      <c r="AA35" s="22">
        <f t="shared" si="37"/>
        <v>0</v>
      </c>
      <c r="AB35" s="22">
        <f t="shared" si="38"/>
        <v>0</v>
      </c>
      <c r="AC35" s="22">
        <f t="shared" si="39"/>
        <v>0</v>
      </c>
      <c r="AD35" s="22">
        <f t="shared" si="40"/>
        <v>0</v>
      </c>
      <c r="AE35" s="22">
        <f t="shared" si="41"/>
        <v>0</v>
      </c>
      <c r="AF35" s="239">
        <f t="shared" si="29"/>
        <v>0</v>
      </c>
    </row>
    <row r="36" spans="1:32" ht="15" customHeight="1" thickBot="1" x14ac:dyDescent="0.25">
      <c r="A36" s="308"/>
      <c r="B36" s="311" t="s">
        <v>30</v>
      </c>
      <c r="C36" s="312"/>
      <c r="D36" s="252">
        <f t="shared" ref="D36:I36" si="51">SUM(D37:D39)</f>
        <v>0</v>
      </c>
      <c r="E36" s="252">
        <f t="shared" si="51"/>
        <v>0</v>
      </c>
      <c r="F36" s="252">
        <f t="shared" si="51"/>
        <v>0</v>
      </c>
      <c r="G36" s="252">
        <f t="shared" si="51"/>
        <v>0</v>
      </c>
      <c r="H36" s="252">
        <f t="shared" si="51"/>
        <v>0</v>
      </c>
      <c r="I36" s="252">
        <f t="shared" si="51"/>
        <v>0</v>
      </c>
      <c r="J36" s="51">
        <f>SUM(J37:J39)</f>
        <v>0</v>
      </c>
      <c r="K36" s="23"/>
      <c r="L36" s="308"/>
      <c r="M36" s="311" t="s">
        <v>30</v>
      </c>
      <c r="N36" s="312"/>
      <c r="O36" s="41">
        <f t="shared" ref="O36" si="52">SUM(O37:O39)</f>
        <v>0</v>
      </c>
      <c r="P36" s="41">
        <f t="shared" ref="P36" si="53">SUM(P37:P39)</f>
        <v>0</v>
      </c>
      <c r="Q36" s="41">
        <f t="shared" ref="Q36" si="54">SUM(Q37:Q39)</f>
        <v>0</v>
      </c>
      <c r="R36" s="41">
        <f t="shared" ref="R36" si="55">SUM(R37:R39)</f>
        <v>0</v>
      </c>
      <c r="S36" s="41">
        <f t="shared" ref="S36" si="56">SUM(S37:S39)</f>
        <v>0</v>
      </c>
      <c r="T36" s="41">
        <f t="shared" ref="T36" si="57">SUM(T37:T39)</f>
        <v>0</v>
      </c>
      <c r="U36" s="240">
        <f>SUM(U37:U39)</f>
        <v>0</v>
      </c>
      <c r="V36" s="22"/>
      <c r="W36" s="308"/>
      <c r="X36" s="311" t="s">
        <v>30</v>
      </c>
      <c r="Y36" s="312"/>
      <c r="Z36" s="41">
        <f t="shared" ref="Z36" si="58">SUM(Z37:Z39)</f>
        <v>0</v>
      </c>
      <c r="AA36" s="41">
        <f t="shared" ref="AA36" si="59">SUM(AA37:AA39)</f>
        <v>0</v>
      </c>
      <c r="AB36" s="41">
        <f t="shared" ref="AB36" si="60">SUM(AB37:AB39)</f>
        <v>0</v>
      </c>
      <c r="AC36" s="41">
        <f t="shared" ref="AC36" si="61">SUM(AC37:AC39)</f>
        <v>0</v>
      </c>
      <c r="AD36" s="41">
        <f t="shared" ref="AD36" si="62">SUM(AD37:AD39)</f>
        <v>0</v>
      </c>
      <c r="AE36" s="41">
        <f t="shared" ref="AE36" si="63">SUM(AE37:AE39)</f>
        <v>0</v>
      </c>
      <c r="AF36" s="240">
        <f>SUM(AF37:AF39)</f>
        <v>0</v>
      </c>
    </row>
    <row r="37" spans="1:32" ht="15" customHeight="1" x14ac:dyDescent="0.2">
      <c r="A37" s="308"/>
      <c r="B37" s="20" t="str">
        <f>B21</f>
        <v>Lab. Technician</v>
      </c>
      <c r="C37" s="21">
        <v>35824</v>
      </c>
      <c r="D37" s="244">
        <f>(C37*(1+C40))*D21</f>
        <v>0</v>
      </c>
      <c r="E37" s="245">
        <f>(C37*(1+C40)^2)*E21</f>
        <v>0</v>
      </c>
      <c r="F37" s="245">
        <f>(C37*(1+C40)^3)*F21</f>
        <v>0</v>
      </c>
      <c r="G37" s="245">
        <f>(C37*(1+C40)^4)*G21</f>
        <v>0</v>
      </c>
      <c r="H37" s="245">
        <f>(C37*(1+C40)^5)*H21</f>
        <v>0</v>
      </c>
      <c r="I37" s="246">
        <f>(C37*(1+C40)^6)*I21</f>
        <v>0</v>
      </c>
      <c r="J37" s="50">
        <f t="shared" si="27"/>
        <v>0</v>
      </c>
      <c r="K37" s="23"/>
      <c r="L37" s="308"/>
      <c r="M37" s="20" t="str">
        <f>B37</f>
        <v>Lab. Technician</v>
      </c>
      <c r="N37" s="21">
        <f>C37</f>
        <v>35824</v>
      </c>
      <c r="O37" s="22">
        <f>($N37*(1+$N$40))*O21</f>
        <v>0</v>
      </c>
      <c r="P37" s="22">
        <f>($N37*(1+$N$40)^2)*P21</f>
        <v>0</v>
      </c>
      <c r="Q37" s="22">
        <f>($N37*(1+$N$40)^3)*Q21</f>
        <v>0</v>
      </c>
      <c r="R37" s="22">
        <f>($N37*(1+$N$40)^4)*R21</f>
        <v>0</v>
      </c>
      <c r="S37" s="22">
        <f>($N37*(1+$N$40)^5)*S21</f>
        <v>0</v>
      </c>
      <c r="T37" s="22">
        <f>($N37*(1+$N$40)^6)*T21</f>
        <v>0</v>
      </c>
      <c r="U37" s="237">
        <f t="shared" ref="U37:U39" si="64">SUM(O37:T37)</f>
        <v>0</v>
      </c>
      <c r="V37" s="22"/>
      <c r="W37" s="308"/>
      <c r="X37" s="20" t="str">
        <f>X21</f>
        <v>Lab. Technician</v>
      </c>
      <c r="Y37" s="21"/>
      <c r="Z37" s="22">
        <f>($Y37*(1+$Y$40))*Z21</f>
        <v>0</v>
      </c>
      <c r="AA37" s="22">
        <f>($Y37*(1+$Y$40)^2)*AA21</f>
        <v>0</v>
      </c>
      <c r="AB37" s="22">
        <f>($Y37*(1+$Y$40)^3)*AB21</f>
        <v>0</v>
      </c>
      <c r="AC37" s="22">
        <f>($Y37*(1+$Y$40)^4)*AC21</f>
        <v>0</v>
      </c>
      <c r="AD37" s="22">
        <f>($Y37*(1+$Y$40)^5)*AD21</f>
        <v>0</v>
      </c>
      <c r="AE37" s="22">
        <f>($Y37*(1+$Y$40)^6)*AE21</f>
        <v>0</v>
      </c>
      <c r="AF37" s="237">
        <f t="shared" ref="AF37:AF39" si="65">SUM(Z37:AE37)</f>
        <v>0</v>
      </c>
    </row>
    <row r="38" spans="1:32" ht="15" customHeight="1" x14ac:dyDescent="0.2">
      <c r="A38" s="308"/>
      <c r="B38" s="20" t="str">
        <f>B22</f>
        <v>Student assistent</v>
      </c>
      <c r="C38" s="21"/>
      <c r="D38" s="247">
        <f t="shared" ref="D38:D39" si="66">($C38*(1+$C$40))*D22</f>
        <v>0</v>
      </c>
      <c r="E38" s="22">
        <f t="shared" ref="E38:E39" si="67">($C38*(1+$C$40)^2)*E22</f>
        <v>0</v>
      </c>
      <c r="F38" s="22">
        <f t="shared" ref="F38:F39" si="68">($C38*(1+$C$40)^3)*F22</f>
        <v>0</v>
      </c>
      <c r="G38" s="22">
        <f t="shared" ref="G38:G39" si="69">($C38*(1+$C$40)^4)*G22</f>
        <v>0</v>
      </c>
      <c r="H38" s="22">
        <f t="shared" ref="H38:H39" si="70">($C38*(1+$C$40)^5)*H22</f>
        <v>0</v>
      </c>
      <c r="I38" s="248">
        <f t="shared" ref="I38:I39" si="71">($C38*(1+$C$40)^6)*I22</f>
        <v>0</v>
      </c>
      <c r="J38" s="50">
        <f t="shared" si="27"/>
        <v>0</v>
      </c>
      <c r="K38" s="23"/>
      <c r="L38" s="308"/>
      <c r="M38" s="20" t="str">
        <f>B38</f>
        <v>Student assistent</v>
      </c>
      <c r="N38" s="21"/>
      <c r="O38" s="22">
        <f t="shared" ref="O38:O39" si="72">($N38*(1+$N$40))*O22</f>
        <v>0</v>
      </c>
      <c r="P38" s="22">
        <f t="shared" ref="P38:P39" si="73">($N38*(1+$N$40)^2)*P22</f>
        <v>0</v>
      </c>
      <c r="Q38" s="22">
        <f t="shared" ref="Q38:Q39" si="74">($N38*(1+$N$40)^3)*Q22</f>
        <v>0</v>
      </c>
      <c r="R38" s="22">
        <f t="shared" ref="R38:R39" si="75">($N38*(1+$N$40)^4)*R22</f>
        <v>0</v>
      </c>
      <c r="S38" s="22">
        <f t="shared" ref="S38:S39" si="76">($N38*(1+$N$40)^5)*S22</f>
        <v>0</v>
      </c>
      <c r="T38" s="22">
        <f t="shared" ref="T38:T39" si="77">($N38*(1+$N$40)^6)*T22</f>
        <v>0</v>
      </c>
      <c r="U38" s="238">
        <f t="shared" si="64"/>
        <v>0</v>
      </c>
      <c r="V38" s="22"/>
      <c r="W38" s="308"/>
      <c r="X38" s="20" t="str">
        <f t="shared" ref="X38:X39" si="78">X22</f>
        <v>Student assistent</v>
      </c>
      <c r="Y38" s="21"/>
      <c r="Z38" s="22">
        <f t="shared" ref="Z38:Z39" si="79">($Y38*(1+$Y$40))*Z22</f>
        <v>0</v>
      </c>
      <c r="AA38" s="22">
        <f t="shared" ref="AA38:AA39" si="80">($Y38*(1+$Y$40)^2)*AA22</f>
        <v>0</v>
      </c>
      <c r="AB38" s="22">
        <f t="shared" ref="AB38:AB39" si="81">($Y38*(1+$Y$40)^3)*AB22</f>
        <v>0</v>
      </c>
      <c r="AC38" s="22">
        <f t="shared" ref="AC38:AC39" si="82">($Y38*(1+$Y$40)^4)*AC22</f>
        <v>0</v>
      </c>
      <c r="AD38" s="22">
        <f t="shared" ref="AD38:AD39" si="83">($Y38*(1+$Y$40)^5)*AD22</f>
        <v>0</v>
      </c>
      <c r="AE38" s="22">
        <f t="shared" ref="AE38:AE39" si="84">($Y38*(1+$Y$40)^6)*AE22</f>
        <v>0</v>
      </c>
      <c r="AF38" s="238">
        <f t="shared" si="65"/>
        <v>0</v>
      </c>
    </row>
    <row r="39" spans="1:32" ht="15" customHeight="1" thickBot="1" x14ac:dyDescent="0.25">
      <c r="A39" s="308"/>
      <c r="B39" s="20">
        <f t="shared" ref="B39" si="85">B23</f>
        <v>0</v>
      </c>
      <c r="C39" s="21"/>
      <c r="D39" s="249">
        <f t="shared" si="66"/>
        <v>0</v>
      </c>
      <c r="E39" s="250">
        <f t="shared" si="67"/>
        <v>0</v>
      </c>
      <c r="F39" s="250">
        <f t="shared" si="68"/>
        <v>0</v>
      </c>
      <c r="G39" s="250">
        <f t="shared" si="69"/>
        <v>0</v>
      </c>
      <c r="H39" s="250">
        <f t="shared" si="70"/>
        <v>0</v>
      </c>
      <c r="I39" s="251">
        <f t="shared" si="71"/>
        <v>0</v>
      </c>
      <c r="J39" s="52">
        <f t="shared" si="27"/>
        <v>0</v>
      </c>
      <c r="K39" s="23"/>
      <c r="L39" s="308"/>
      <c r="M39" s="20">
        <f t="shared" ref="M39" si="86">M23</f>
        <v>0</v>
      </c>
      <c r="N39" s="21"/>
      <c r="O39" s="22">
        <f t="shared" si="72"/>
        <v>0</v>
      </c>
      <c r="P39" s="22">
        <f t="shared" si="73"/>
        <v>0</v>
      </c>
      <c r="Q39" s="22">
        <f t="shared" si="74"/>
        <v>0</v>
      </c>
      <c r="R39" s="22">
        <f t="shared" si="75"/>
        <v>0</v>
      </c>
      <c r="S39" s="22">
        <f t="shared" si="76"/>
        <v>0</v>
      </c>
      <c r="T39" s="22">
        <f t="shared" si="77"/>
        <v>0</v>
      </c>
      <c r="U39" s="239">
        <f t="shared" si="64"/>
        <v>0</v>
      </c>
      <c r="V39" s="22"/>
      <c r="W39" s="308"/>
      <c r="X39" s="20">
        <f t="shared" si="78"/>
        <v>0</v>
      </c>
      <c r="Y39" s="21"/>
      <c r="Z39" s="22">
        <f t="shared" si="79"/>
        <v>0</v>
      </c>
      <c r="AA39" s="22">
        <f t="shared" si="80"/>
        <v>0</v>
      </c>
      <c r="AB39" s="22">
        <f t="shared" si="81"/>
        <v>0</v>
      </c>
      <c r="AC39" s="22">
        <f t="shared" si="82"/>
        <v>0</v>
      </c>
      <c r="AD39" s="22">
        <f t="shared" si="83"/>
        <v>0</v>
      </c>
      <c r="AE39" s="22">
        <f t="shared" si="84"/>
        <v>0</v>
      </c>
      <c r="AF39" s="239">
        <f t="shared" si="65"/>
        <v>0</v>
      </c>
    </row>
    <row r="40" spans="1:32" ht="15.75" customHeight="1" x14ac:dyDescent="0.2">
      <c r="A40" s="308"/>
      <c r="B40" s="24" t="s">
        <v>12</v>
      </c>
      <c r="C40" s="25">
        <v>0.02</v>
      </c>
      <c r="D40" s="253"/>
      <c r="E40" s="253"/>
      <c r="F40" s="253"/>
      <c r="G40" s="253"/>
      <c r="H40" s="253"/>
      <c r="I40" s="253"/>
      <c r="J40" s="53"/>
      <c r="K40" s="23"/>
      <c r="L40" s="308"/>
      <c r="M40" s="24" t="s">
        <v>12</v>
      </c>
      <c r="N40" s="25">
        <v>0.02</v>
      </c>
      <c r="O40" s="26"/>
      <c r="P40" s="26"/>
      <c r="Q40" s="26"/>
      <c r="R40" s="26"/>
      <c r="S40" s="26"/>
      <c r="T40" s="26"/>
      <c r="U40" s="27"/>
      <c r="V40" s="22"/>
      <c r="W40" s="308"/>
      <c r="X40" s="24" t="s">
        <v>12</v>
      </c>
      <c r="Y40" s="25">
        <v>0.02</v>
      </c>
      <c r="Z40" s="26"/>
      <c r="AA40" s="26"/>
      <c r="AB40" s="26"/>
      <c r="AC40" s="26"/>
      <c r="AD40" s="26"/>
      <c r="AE40" s="26"/>
      <c r="AF40" s="27"/>
    </row>
    <row r="41" spans="1:32" ht="16" thickBot="1" x14ac:dyDescent="0.25">
      <c r="A41" s="308"/>
      <c r="B41" s="17" t="s">
        <v>13</v>
      </c>
      <c r="C41" s="17"/>
      <c r="D41" s="28">
        <f>ROUND((D26+D36),0)</f>
        <v>0</v>
      </c>
      <c r="E41" s="28">
        <f t="shared" ref="E41:I41" si="87">ROUND((E26+E36),0)</f>
        <v>408927</v>
      </c>
      <c r="F41" s="28">
        <f t="shared" si="87"/>
        <v>417106</v>
      </c>
      <c r="G41" s="28">
        <f t="shared" si="87"/>
        <v>425448</v>
      </c>
      <c r="H41" s="28">
        <f t="shared" si="87"/>
        <v>0</v>
      </c>
      <c r="I41" s="28">
        <f t="shared" si="87"/>
        <v>0</v>
      </c>
      <c r="J41" s="54">
        <f>SUM(D41:I41)</f>
        <v>1251481</v>
      </c>
      <c r="K41" s="23"/>
      <c r="L41" s="308"/>
      <c r="M41" s="17" t="s">
        <v>13</v>
      </c>
      <c r="N41" s="17"/>
      <c r="O41" s="28">
        <f>ROUND((O26+O36),0)</f>
        <v>56778</v>
      </c>
      <c r="P41" s="28">
        <f t="shared" ref="P41:T41" si="88">ROUND((P26+P36),0)</f>
        <v>115828</v>
      </c>
      <c r="Q41" s="28">
        <f t="shared" si="88"/>
        <v>118144</v>
      </c>
      <c r="R41" s="28">
        <f t="shared" si="88"/>
        <v>120507</v>
      </c>
      <c r="S41" s="28">
        <f t="shared" si="88"/>
        <v>122917</v>
      </c>
      <c r="T41" s="28">
        <f t="shared" si="88"/>
        <v>0</v>
      </c>
      <c r="U41" s="28">
        <f>SUM(O41:T41)</f>
        <v>534174</v>
      </c>
      <c r="V41" s="22"/>
      <c r="W41" s="308"/>
      <c r="X41" s="17" t="s">
        <v>13</v>
      </c>
      <c r="Y41" s="17"/>
      <c r="Z41" s="28">
        <f>ROUND((Z26+Z36),0)</f>
        <v>0</v>
      </c>
      <c r="AA41" s="28">
        <f t="shared" ref="AA41:AE41" si="89">ROUND((AA26+AA36),0)</f>
        <v>0</v>
      </c>
      <c r="AB41" s="28">
        <f t="shared" si="89"/>
        <v>0</v>
      </c>
      <c r="AC41" s="28">
        <f t="shared" si="89"/>
        <v>0</v>
      </c>
      <c r="AD41" s="28">
        <f t="shared" si="89"/>
        <v>0</v>
      </c>
      <c r="AE41" s="28">
        <f t="shared" si="89"/>
        <v>0</v>
      </c>
      <c r="AF41" s="28">
        <f>SUM(Z41:AE41)</f>
        <v>0</v>
      </c>
    </row>
    <row r="42" spans="1:32" ht="16" thickBot="1" x14ac:dyDescent="0.25">
      <c r="A42" s="307" t="s">
        <v>14</v>
      </c>
      <c r="B42" s="19" t="s">
        <v>15</v>
      </c>
      <c r="C42" s="19"/>
      <c r="D42" s="256">
        <f t="shared" ref="D42:I42" si="90">+D25</f>
        <v>2019</v>
      </c>
      <c r="E42" s="256">
        <f t="shared" si="90"/>
        <v>2020</v>
      </c>
      <c r="F42" s="256">
        <f t="shared" si="90"/>
        <v>2021</v>
      </c>
      <c r="G42" s="256">
        <f t="shared" si="90"/>
        <v>2022</v>
      </c>
      <c r="H42" s="256">
        <f t="shared" si="90"/>
        <v>2023</v>
      </c>
      <c r="I42" s="256">
        <f t="shared" si="90"/>
        <v>2024</v>
      </c>
      <c r="J42" s="46" t="s">
        <v>11</v>
      </c>
      <c r="L42" s="307" t="s">
        <v>14</v>
      </c>
      <c r="M42" s="37" t="s">
        <v>15</v>
      </c>
      <c r="N42" s="37"/>
      <c r="O42" s="13">
        <f t="shared" ref="O42:T42" si="91">+O25</f>
        <v>2019</v>
      </c>
      <c r="P42" s="13">
        <f t="shared" si="91"/>
        <v>2020</v>
      </c>
      <c r="Q42" s="13">
        <f t="shared" si="91"/>
        <v>2021</v>
      </c>
      <c r="R42" s="13">
        <f t="shared" si="91"/>
        <v>2022</v>
      </c>
      <c r="S42" s="13">
        <f t="shared" si="91"/>
        <v>2023</v>
      </c>
      <c r="T42" s="13">
        <f t="shared" si="91"/>
        <v>2024</v>
      </c>
      <c r="U42" s="256" t="s">
        <v>11</v>
      </c>
      <c r="V42" s="14"/>
      <c r="W42" s="307" t="s">
        <v>14</v>
      </c>
      <c r="X42" s="37" t="s">
        <v>15</v>
      </c>
      <c r="Y42" s="37"/>
      <c r="Z42" s="13">
        <f t="shared" ref="Z42:AE42" si="92">+Z25</f>
        <v>2019</v>
      </c>
      <c r="AA42" s="13">
        <f t="shared" si="92"/>
        <v>2020</v>
      </c>
      <c r="AB42" s="13">
        <f t="shared" si="92"/>
        <v>2021</v>
      </c>
      <c r="AC42" s="13">
        <f t="shared" si="92"/>
        <v>2022</v>
      </c>
      <c r="AD42" s="13">
        <f t="shared" si="92"/>
        <v>2023</v>
      </c>
      <c r="AE42" s="13">
        <f t="shared" si="92"/>
        <v>2024</v>
      </c>
      <c r="AF42" s="256" t="s">
        <v>11</v>
      </c>
    </row>
    <row r="43" spans="1:32" x14ac:dyDescent="0.2">
      <c r="A43" s="308"/>
      <c r="B43" s="79" t="s">
        <v>110</v>
      </c>
      <c r="C43" s="254"/>
      <c r="D43" s="258"/>
      <c r="E43" s="259">
        <v>25000</v>
      </c>
      <c r="F43" s="259"/>
      <c r="G43" s="259"/>
      <c r="H43" s="259"/>
      <c r="I43" s="260"/>
      <c r="J43" s="50">
        <f>SUM(D43:I43)</f>
        <v>25000</v>
      </c>
      <c r="L43" s="308"/>
      <c r="M43" s="79"/>
      <c r="N43" s="80"/>
      <c r="O43" s="29"/>
      <c r="P43" s="29"/>
      <c r="Q43" s="29"/>
      <c r="R43" s="29"/>
      <c r="S43" s="29"/>
      <c r="T43" s="29"/>
      <c r="U43" s="237">
        <f>SUM(O43:T43)</f>
        <v>0</v>
      </c>
      <c r="V43" s="22"/>
      <c r="W43" s="308"/>
      <c r="X43" s="79"/>
      <c r="Y43" s="80"/>
      <c r="Z43" s="29"/>
      <c r="AA43" s="29"/>
      <c r="AB43" s="29"/>
      <c r="AC43" s="29"/>
      <c r="AD43" s="29"/>
      <c r="AE43" s="29"/>
      <c r="AF43" s="237">
        <f>SUM(Z43:AE43)</f>
        <v>0</v>
      </c>
    </row>
    <row r="44" spans="1:32" x14ac:dyDescent="0.2">
      <c r="A44" s="308"/>
      <c r="B44" s="77"/>
      <c r="C44" s="15"/>
      <c r="D44" s="261"/>
      <c r="E44" s="29"/>
      <c r="F44" s="29"/>
      <c r="G44" s="29"/>
      <c r="H44" s="29"/>
      <c r="I44" s="262"/>
      <c r="J44" s="50">
        <f>SUM(D44:I44)</f>
        <v>0</v>
      </c>
      <c r="L44" s="308"/>
      <c r="M44" s="77"/>
      <c r="N44" s="78"/>
      <c r="O44" s="29"/>
      <c r="P44" s="29"/>
      <c r="Q44" s="29"/>
      <c r="R44" s="29"/>
      <c r="S44" s="29"/>
      <c r="T44" s="29"/>
      <c r="U44" s="238">
        <f>SUM(O44:T44)</f>
        <v>0</v>
      </c>
      <c r="V44" s="22"/>
      <c r="W44" s="308"/>
      <c r="X44" s="77"/>
      <c r="Y44" s="78"/>
      <c r="Z44" s="29"/>
      <c r="AA44" s="29"/>
      <c r="AB44" s="29"/>
      <c r="AC44" s="29"/>
      <c r="AD44" s="29"/>
      <c r="AE44" s="29"/>
      <c r="AF44" s="238">
        <f>SUM(Z44:AE44)</f>
        <v>0</v>
      </c>
    </row>
    <row r="45" spans="1:32" ht="16" thickBot="1" x14ac:dyDescent="0.25">
      <c r="A45" s="308"/>
      <c r="B45" s="81"/>
      <c r="C45" s="255"/>
      <c r="D45" s="263"/>
      <c r="E45" s="264"/>
      <c r="F45" s="264"/>
      <c r="G45" s="264"/>
      <c r="H45" s="264"/>
      <c r="I45" s="265"/>
      <c r="J45" s="50">
        <f>SUM(D45:I45)</f>
        <v>0</v>
      </c>
      <c r="L45" s="308"/>
      <c r="M45" s="81"/>
      <c r="N45" s="82"/>
      <c r="O45" s="29"/>
      <c r="P45" s="29"/>
      <c r="Q45" s="29"/>
      <c r="R45" s="29"/>
      <c r="S45" s="29"/>
      <c r="T45" s="29"/>
      <c r="U45" s="239">
        <f>SUM(O45:T45)</f>
        <v>0</v>
      </c>
      <c r="V45" s="22"/>
      <c r="W45" s="308"/>
      <c r="X45" s="81"/>
      <c r="Y45" s="82"/>
      <c r="Z45" s="29"/>
      <c r="AA45" s="29"/>
      <c r="AB45" s="29"/>
      <c r="AC45" s="29"/>
      <c r="AD45" s="29"/>
      <c r="AE45" s="29"/>
      <c r="AF45" s="239">
        <f>SUM(Z45:AE45)</f>
        <v>0</v>
      </c>
    </row>
    <row r="46" spans="1:32" ht="16" thickBot="1" x14ac:dyDescent="0.25">
      <c r="A46" s="308"/>
      <c r="B46" s="17" t="s">
        <v>16</v>
      </c>
      <c r="C46" s="17"/>
      <c r="D46" s="257">
        <f t="shared" ref="D46:I46" si="93">ROUND(SUM(D43:D45),0)</f>
        <v>0</v>
      </c>
      <c r="E46" s="257">
        <f t="shared" si="93"/>
        <v>25000</v>
      </c>
      <c r="F46" s="257">
        <f t="shared" si="93"/>
        <v>0</v>
      </c>
      <c r="G46" s="257">
        <f t="shared" si="93"/>
        <v>0</v>
      </c>
      <c r="H46" s="257">
        <f t="shared" si="93"/>
        <v>0</v>
      </c>
      <c r="I46" s="257">
        <f t="shared" si="93"/>
        <v>0</v>
      </c>
      <c r="J46" s="54">
        <f>SUM(D46:I46)</f>
        <v>25000</v>
      </c>
      <c r="L46" s="308"/>
      <c r="M46" s="17" t="s">
        <v>16</v>
      </c>
      <c r="N46" s="17"/>
      <c r="O46" s="28">
        <f t="shared" ref="O46:T46" si="94">ROUND(SUM(O43:O45),0)</f>
        <v>0</v>
      </c>
      <c r="P46" s="28">
        <f t="shared" si="94"/>
        <v>0</v>
      </c>
      <c r="Q46" s="28">
        <f t="shared" si="94"/>
        <v>0</v>
      </c>
      <c r="R46" s="28">
        <f t="shared" si="94"/>
        <v>0</v>
      </c>
      <c r="S46" s="28">
        <f t="shared" si="94"/>
        <v>0</v>
      </c>
      <c r="T46" s="28">
        <f t="shared" si="94"/>
        <v>0</v>
      </c>
      <c r="U46" s="257">
        <f>SUM(O46:T46)</f>
        <v>0</v>
      </c>
      <c r="V46" s="22"/>
      <c r="W46" s="308"/>
      <c r="X46" s="17" t="s">
        <v>16</v>
      </c>
      <c r="Y46" s="17"/>
      <c r="Z46" s="28">
        <f t="shared" ref="Z46:AE46" si="95">ROUND(SUM(Z43:Z45),0)</f>
        <v>0</v>
      </c>
      <c r="AA46" s="28">
        <f t="shared" si="95"/>
        <v>0</v>
      </c>
      <c r="AB46" s="28">
        <f t="shared" si="95"/>
        <v>0</v>
      </c>
      <c r="AC46" s="28">
        <f t="shared" si="95"/>
        <v>0</v>
      </c>
      <c r="AD46" s="28">
        <f t="shared" si="95"/>
        <v>0</v>
      </c>
      <c r="AE46" s="28">
        <f t="shared" si="95"/>
        <v>0</v>
      </c>
      <c r="AF46" s="257">
        <f>SUM(Z46:AE46)</f>
        <v>0</v>
      </c>
    </row>
    <row r="47" spans="1:32" ht="16" thickBot="1" x14ac:dyDescent="0.25">
      <c r="A47" s="307" t="s">
        <v>17</v>
      </c>
      <c r="B47" s="19" t="s">
        <v>31</v>
      </c>
      <c r="C47" s="19"/>
      <c r="D47" s="256">
        <f t="shared" ref="D47:I47" si="96">D9</f>
        <v>2019</v>
      </c>
      <c r="E47" s="256">
        <f t="shared" si="96"/>
        <v>2020</v>
      </c>
      <c r="F47" s="256">
        <f t="shared" si="96"/>
        <v>2021</v>
      </c>
      <c r="G47" s="256">
        <f t="shared" si="96"/>
        <v>2022</v>
      </c>
      <c r="H47" s="256">
        <f t="shared" si="96"/>
        <v>2023</v>
      </c>
      <c r="I47" s="256">
        <f t="shared" si="96"/>
        <v>2024</v>
      </c>
      <c r="J47" s="46" t="s">
        <v>11</v>
      </c>
      <c r="L47" s="307" t="s">
        <v>17</v>
      </c>
      <c r="M47" s="37" t="s">
        <v>31</v>
      </c>
      <c r="N47" s="37"/>
      <c r="O47" s="13">
        <f t="shared" ref="O47:T47" si="97">O9</f>
        <v>2019</v>
      </c>
      <c r="P47" s="13">
        <f t="shared" si="97"/>
        <v>2020</v>
      </c>
      <c r="Q47" s="13">
        <f t="shared" si="97"/>
        <v>2021</v>
      </c>
      <c r="R47" s="13">
        <f t="shared" si="97"/>
        <v>2022</v>
      </c>
      <c r="S47" s="13">
        <f t="shared" si="97"/>
        <v>2023</v>
      </c>
      <c r="T47" s="13">
        <f t="shared" si="97"/>
        <v>2024</v>
      </c>
      <c r="U47" s="256" t="s">
        <v>11</v>
      </c>
      <c r="V47" s="14"/>
      <c r="W47" s="307" t="s">
        <v>17</v>
      </c>
      <c r="X47" s="37" t="s">
        <v>31</v>
      </c>
      <c r="Y47" s="37"/>
      <c r="Z47" s="13">
        <f t="shared" ref="Z47:AE47" si="98">Z9</f>
        <v>2019</v>
      </c>
      <c r="AA47" s="13">
        <f t="shared" si="98"/>
        <v>2020</v>
      </c>
      <c r="AB47" s="13">
        <f t="shared" si="98"/>
        <v>2021</v>
      </c>
      <c r="AC47" s="13">
        <f t="shared" si="98"/>
        <v>2022</v>
      </c>
      <c r="AD47" s="13">
        <f t="shared" si="98"/>
        <v>2023</v>
      </c>
      <c r="AE47" s="13">
        <f t="shared" si="98"/>
        <v>2024</v>
      </c>
      <c r="AF47" s="256" t="s">
        <v>11</v>
      </c>
    </row>
    <row r="48" spans="1:32" x14ac:dyDescent="0.2">
      <c r="A48" s="308"/>
      <c r="B48" s="79" t="s">
        <v>118</v>
      </c>
      <c r="C48" s="254"/>
      <c r="D48" s="258"/>
      <c r="E48" s="259">
        <v>300000</v>
      </c>
      <c r="F48" s="259">
        <v>290000</v>
      </c>
      <c r="G48" s="259"/>
      <c r="H48" s="259"/>
      <c r="I48" s="260"/>
      <c r="J48" s="50">
        <f>SUM(D48:I48)</f>
        <v>590000</v>
      </c>
      <c r="L48" s="308"/>
      <c r="M48" s="79"/>
      <c r="N48" s="80"/>
      <c r="O48" s="29"/>
      <c r="P48" s="29"/>
      <c r="Q48" s="29"/>
      <c r="R48" s="29"/>
      <c r="S48" s="29"/>
      <c r="T48" s="29"/>
      <c r="U48" s="237">
        <f t="shared" ref="U48:U62" si="99">SUM(O48:T48)</f>
        <v>0</v>
      </c>
      <c r="V48" s="16"/>
      <c r="W48" s="308"/>
      <c r="X48" s="79"/>
      <c r="Y48" s="80"/>
      <c r="Z48" s="29"/>
      <c r="AA48" s="29"/>
      <c r="AB48" s="29"/>
      <c r="AC48" s="29"/>
      <c r="AD48" s="29"/>
      <c r="AE48" s="29"/>
      <c r="AF48" s="237">
        <f t="shared" ref="AF48:AF62" si="100">SUM(Z48:AE48)</f>
        <v>0</v>
      </c>
    </row>
    <row r="49" spans="1:37" x14ac:dyDescent="0.2">
      <c r="A49" s="308"/>
      <c r="B49" s="35" t="s">
        <v>113</v>
      </c>
      <c r="C49" s="266"/>
      <c r="D49" s="29">
        <f t="shared" ref="D49:E49" si="101">D18/12*40000+D19/12*80000</f>
        <v>0</v>
      </c>
      <c r="E49" s="29">
        <f t="shared" si="101"/>
        <v>0</v>
      </c>
      <c r="F49" s="29">
        <f>F18/12*40000+F19/12*80000</f>
        <v>0</v>
      </c>
      <c r="G49" s="29">
        <f t="shared" ref="G49:H49" si="102">G18/12*40000+G19/12*80000</f>
        <v>0</v>
      </c>
      <c r="H49" s="29">
        <f t="shared" si="102"/>
        <v>0</v>
      </c>
      <c r="I49" s="262"/>
      <c r="J49" s="50">
        <f t="shared" ref="J49:J62" si="103">SUM(D49:I49)</f>
        <v>0</v>
      </c>
      <c r="L49" s="308"/>
      <c r="M49" s="85"/>
      <c r="N49" s="57"/>
      <c r="O49" s="29"/>
      <c r="P49" s="29"/>
      <c r="Q49" s="29"/>
      <c r="R49" s="29"/>
      <c r="S49" s="29"/>
      <c r="T49" s="29"/>
      <c r="U49" s="238">
        <f t="shared" si="99"/>
        <v>0</v>
      </c>
      <c r="V49" s="16"/>
      <c r="W49" s="308"/>
      <c r="X49" s="35"/>
      <c r="Y49" s="36"/>
      <c r="Z49" s="29"/>
      <c r="AA49" s="29"/>
      <c r="AB49" s="29"/>
      <c r="AC49" s="29"/>
      <c r="AD49" s="29"/>
      <c r="AE49" s="29"/>
      <c r="AF49" s="238">
        <f t="shared" si="100"/>
        <v>0</v>
      </c>
    </row>
    <row r="50" spans="1:37" x14ac:dyDescent="0.2">
      <c r="A50" s="308"/>
      <c r="B50" s="35" t="s">
        <v>119</v>
      </c>
      <c r="C50" s="266"/>
      <c r="D50" s="261"/>
      <c r="E50" s="29">
        <v>25000</v>
      </c>
      <c r="F50" s="29">
        <v>25000</v>
      </c>
      <c r="G50" s="29">
        <v>25000</v>
      </c>
      <c r="H50" s="29"/>
      <c r="I50" s="262"/>
      <c r="J50" s="50">
        <f t="shared" si="103"/>
        <v>75000</v>
      </c>
      <c r="L50" s="308"/>
      <c r="M50" s="85"/>
      <c r="N50" s="57"/>
      <c r="O50" s="29"/>
      <c r="P50" s="29"/>
      <c r="Q50" s="29"/>
      <c r="R50" s="29"/>
      <c r="S50" s="29"/>
      <c r="T50" s="29"/>
      <c r="U50" s="238">
        <f t="shared" si="99"/>
        <v>0</v>
      </c>
      <c r="V50" s="16"/>
      <c r="W50" s="308"/>
      <c r="X50" s="35"/>
      <c r="Y50" s="36"/>
      <c r="Z50" s="29"/>
      <c r="AA50" s="29"/>
      <c r="AB50" s="29"/>
      <c r="AC50" s="29"/>
      <c r="AD50" s="29"/>
      <c r="AE50" s="29"/>
      <c r="AF50" s="238">
        <f t="shared" si="100"/>
        <v>0</v>
      </c>
    </row>
    <row r="51" spans="1:37" x14ac:dyDescent="0.2">
      <c r="A51" s="308"/>
      <c r="B51" s="284" t="s">
        <v>115</v>
      </c>
      <c r="C51" s="266"/>
      <c r="D51" s="261"/>
      <c r="E51" s="29">
        <f>0.08*24*365*5*E16</f>
        <v>42048</v>
      </c>
      <c r="F51" s="29">
        <f>0.08*24*365*5*F16</f>
        <v>42048</v>
      </c>
      <c r="G51" s="29">
        <f>0.08*24*365*5*G16</f>
        <v>42048</v>
      </c>
      <c r="H51" s="29">
        <f>0.08*24*365*5*H16</f>
        <v>0</v>
      </c>
      <c r="I51" s="262"/>
      <c r="J51" s="50">
        <f>SUM(E51:I51)</f>
        <v>126144</v>
      </c>
      <c r="L51" s="308"/>
      <c r="M51" s="85"/>
      <c r="N51" s="285"/>
      <c r="O51" s="29"/>
      <c r="P51" s="29"/>
      <c r="Q51" s="29"/>
      <c r="R51" s="29"/>
      <c r="S51" s="29"/>
      <c r="T51" s="29"/>
      <c r="U51" s="238"/>
      <c r="V51" s="16"/>
      <c r="W51" s="308"/>
      <c r="X51" s="284"/>
      <c r="Y51" s="285"/>
      <c r="Z51" s="29"/>
      <c r="AA51" s="29"/>
      <c r="AB51" s="29"/>
      <c r="AC51" s="29"/>
      <c r="AD51" s="29"/>
      <c r="AE51" s="29"/>
      <c r="AF51" s="238"/>
    </row>
    <row r="52" spans="1:37" x14ac:dyDescent="0.2">
      <c r="A52" s="308"/>
      <c r="B52" s="35" t="s">
        <v>116</v>
      </c>
      <c r="C52" s="266"/>
      <c r="D52" s="261"/>
      <c r="E52" s="29">
        <v>10000</v>
      </c>
      <c r="F52" s="29">
        <v>10000</v>
      </c>
      <c r="G52" s="29">
        <v>10000</v>
      </c>
      <c r="H52" s="29"/>
      <c r="I52" s="262"/>
      <c r="J52" s="50">
        <f t="shared" si="103"/>
        <v>30000</v>
      </c>
      <c r="L52" s="308"/>
      <c r="M52" s="56"/>
      <c r="N52" s="57"/>
      <c r="O52" s="29"/>
      <c r="P52" s="29"/>
      <c r="Q52" s="29"/>
      <c r="R52" s="29"/>
      <c r="S52" s="29"/>
      <c r="T52" s="29"/>
      <c r="U52" s="238">
        <f t="shared" si="99"/>
        <v>0</v>
      </c>
      <c r="V52" s="16"/>
      <c r="W52" s="308"/>
      <c r="X52" s="35"/>
      <c r="Y52" s="36"/>
      <c r="Z52" s="29"/>
      <c r="AA52" s="29"/>
      <c r="AB52" s="29"/>
      <c r="AC52" s="29"/>
      <c r="AD52" s="29"/>
      <c r="AE52" s="29"/>
      <c r="AF52" s="238">
        <f t="shared" si="100"/>
        <v>0</v>
      </c>
    </row>
    <row r="53" spans="1:37" x14ac:dyDescent="0.2">
      <c r="A53" s="308"/>
      <c r="B53" s="35" t="s">
        <v>114</v>
      </c>
      <c r="C53" s="266"/>
      <c r="D53" s="261">
        <f>D16/12*80000</f>
        <v>0</v>
      </c>
      <c r="E53" s="29">
        <f>E16/12*80000</f>
        <v>80000</v>
      </c>
      <c r="F53" s="29">
        <f t="shared" ref="F53:I53" si="104">F16/12*80000</f>
        <v>80000</v>
      </c>
      <c r="G53" s="29">
        <f t="shared" si="104"/>
        <v>80000</v>
      </c>
      <c r="H53" s="29">
        <f t="shared" si="104"/>
        <v>0</v>
      </c>
      <c r="I53" s="29">
        <f t="shared" si="104"/>
        <v>0</v>
      </c>
      <c r="J53" s="50">
        <f t="shared" si="103"/>
        <v>240000</v>
      </c>
      <c r="L53" s="308"/>
      <c r="M53" s="56"/>
      <c r="N53" s="57"/>
      <c r="O53" s="29"/>
      <c r="P53" s="29"/>
      <c r="Q53" s="29"/>
      <c r="R53" s="29"/>
      <c r="S53" s="29"/>
      <c r="T53" s="29"/>
      <c r="U53" s="238">
        <f t="shared" si="99"/>
        <v>0</v>
      </c>
      <c r="V53" s="16"/>
      <c r="W53" s="308"/>
      <c r="X53" s="35"/>
      <c r="Y53" s="36"/>
      <c r="Z53" s="29"/>
      <c r="AA53" s="29"/>
      <c r="AB53" s="29"/>
      <c r="AC53" s="29"/>
      <c r="AD53" s="29"/>
      <c r="AE53" s="29"/>
      <c r="AF53" s="238">
        <f t="shared" si="100"/>
        <v>0</v>
      </c>
    </row>
    <row r="54" spans="1:37" x14ac:dyDescent="0.2">
      <c r="A54" s="308"/>
      <c r="B54" s="35" t="s">
        <v>117</v>
      </c>
      <c r="C54" s="266"/>
      <c r="D54" s="261"/>
      <c r="E54" s="29"/>
      <c r="F54" s="29">
        <v>25000</v>
      </c>
      <c r="G54" s="29">
        <v>25000</v>
      </c>
      <c r="H54" s="29"/>
      <c r="I54" s="262"/>
      <c r="J54" s="50">
        <f t="shared" si="103"/>
        <v>50000</v>
      </c>
      <c r="L54" s="308"/>
      <c r="M54" s="56"/>
      <c r="N54" s="57"/>
      <c r="O54" s="29"/>
      <c r="P54" s="29"/>
      <c r="Q54" s="29"/>
      <c r="R54" s="29"/>
      <c r="S54" s="29"/>
      <c r="T54" s="29"/>
      <c r="U54" s="238">
        <f t="shared" si="99"/>
        <v>0</v>
      </c>
      <c r="V54" s="16"/>
      <c r="W54" s="308"/>
      <c r="X54" s="35"/>
      <c r="Y54" s="36"/>
      <c r="Z54" s="29"/>
      <c r="AA54" s="29"/>
      <c r="AB54" s="29"/>
      <c r="AC54" s="29"/>
      <c r="AD54" s="29"/>
      <c r="AE54" s="29"/>
      <c r="AF54" s="238">
        <f t="shared" si="100"/>
        <v>0</v>
      </c>
    </row>
    <row r="55" spans="1:37" x14ac:dyDescent="0.2">
      <c r="A55" s="308"/>
      <c r="B55" s="35" t="s">
        <v>120</v>
      </c>
      <c r="C55" s="266"/>
      <c r="D55" s="261"/>
      <c r="E55" s="29">
        <v>25000</v>
      </c>
      <c r="F55" s="29"/>
      <c r="G55" s="29"/>
      <c r="H55" s="29"/>
      <c r="I55" s="262"/>
      <c r="J55" s="50">
        <f t="shared" si="103"/>
        <v>25000</v>
      </c>
      <c r="L55" s="308"/>
      <c r="M55" s="56"/>
      <c r="N55" s="57"/>
      <c r="O55" s="29"/>
      <c r="P55" s="29"/>
      <c r="Q55" s="29"/>
      <c r="R55" s="29"/>
      <c r="S55" s="29"/>
      <c r="T55" s="29"/>
      <c r="U55" s="238">
        <f t="shared" si="99"/>
        <v>0</v>
      </c>
      <c r="V55" s="16"/>
      <c r="W55" s="308"/>
      <c r="X55" s="35"/>
      <c r="Y55" s="36"/>
      <c r="Z55" s="29"/>
      <c r="AA55" s="29"/>
      <c r="AB55" s="29"/>
      <c r="AC55" s="29"/>
      <c r="AD55" s="29"/>
      <c r="AE55" s="29"/>
      <c r="AF55" s="238">
        <f t="shared" si="100"/>
        <v>0</v>
      </c>
    </row>
    <row r="56" spans="1:37" x14ac:dyDescent="0.2">
      <c r="A56" s="308"/>
      <c r="B56" s="77"/>
      <c r="C56" s="15"/>
      <c r="D56" s="261"/>
      <c r="E56" s="29"/>
      <c r="F56" s="29"/>
      <c r="G56" s="29"/>
      <c r="H56" s="29"/>
      <c r="I56" s="262"/>
      <c r="J56" s="50">
        <f t="shared" si="103"/>
        <v>0</v>
      </c>
      <c r="L56" s="308"/>
      <c r="M56" s="309"/>
      <c r="N56" s="310"/>
      <c r="O56" s="29"/>
      <c r="P56" s="29"/>
      <c r="Q56" s="29"/>
      <c r="R56" s="29"/>
      <c r="S56" s="29"/>
      <c r="T56" s="29"/>
      <c r="U56" s="238">
        <f t="shared" si="99"/>
        <v>0</v>
      </c>
      <c r="V56" s="16"/>
      <c r="W56" s="308"/>
      <c r="X56" s="77"/>
      <c r="Y56" s="78"/>
      <c r="Z56" s="29"/>
      <c r="AA56" s="29"/>
      <c r="AB56" s="29"/>
      <c r="AC56" s="29"/>
      <c r="AD56" s="29"/>
      <c r="AE56" s="29"/>
      <c r="AF56" s="238">
        <f t="shared" si="100"/>
        <v>0</v>
      </c>
    </row>
    <row r="57" spans="1:37" x14ac:dyDescent="0.2">
      <c r="A57" s="308"/>
      <c r="B57" s="35"/>
      <c r="C57" s="266"/>
      <c r="D57" s="261"/>
      <c r="E57" s="29"/>
      <c r="F57" s="29"/>
      <c r="G57" s="29"/>
      <c r="H57" s="29"/>
      <c r="I57" s="262"/>
      <c r="J57" s="50">
        <f t="shared" si="103"/>
        <v>0</v>
      </c>
      <c r="L57" s="308"/>
      <c r="M57" s="56"/>
      <c r="N57" s="57"/>
      <c r="O57" s="29"/>
      <c r="P57" s="29"/>
      <c r="Q57" s="29"/>
      <c r="R57" s="29"/>
      <c r="S57" s="29"/>
      <c r="T57" s="29"/>
      <c r="U57" s="238">
        <f t="shared" si="99"/>
        <v>0</v>
      </c>
      <c r="V57" s="16"/>
      <c r="W57" s="308"/>
      <c r="X57" s="35"/>
      <c r="Y57" s="36"/>
      <c r="Z57" s="29"/>
      <c r="AA57" s="29"/>
      <c r="AB57" s="29"/>
      <c r="AC57" s="29"/>
      <c r="AD57" s="29"/>
      <c r="AE57" s="29"/>
      <c r="AF57" s="238">
        <f t="shared" si="100"/>
        <v>0</v>
      </c>
    </row>
    <row r="58" spans="1:37" x14ac:dyDescent="0.2">
      <c r="A58" s="308"/>
      <c r="B58" s="77"/>
      <c r="C58" s="15"/>
      <c r="D58" s="261"/>
      <c r="E58" s="29"/>
      <c r="F58" s="29"/>
      <c r="G58" s="29"/>
      <c r="H58" s="29"/>
      <c r="I58" s="262"/>
      <c r="J58" s="50">
        <f t="shared" si="103"/>
        <v>0</v>
      </c>
      <c r="L58" s="308"/>
      <c r="M58" s="309"/>
      <c r="N58" s="310"/>
      <c r="O58" s="29"/>
      <c r="P58" s="29"/>
      <c r="Q58" s="29"/>
      <c r="R58" s="29"/>
      <c r="S58" s="29"/>
      <c r="T58" s="29"/>
      <c r="U58" s="238">
        <f t="shared" si="99"/>
        <v>0</v>
      </c>
      <c r="V58" s="16"/>
      <c r="W58" s="308"/>
      <c r="X58" s="77"/>
      <c r="Y58" s="78"/>
      <c r="Z58" s="29"/>
      <c r="AA58" s="29"/>
      <c r="AB58" s="29"/>
      <c r="AC58" s="29"/>
      <c r="AD58" s="29"/>
      <c r="AE58" s="29"/>
      <c r="AF58" s="238">
        <f t="shared" si="100"/>
        <v>0</v>
      </c>
      <c r="AG58" s="30"/>
      <c r="AH58" s="30"/>
      <c r="AI58" s="30"/>
      <c r="AJ58" s="30"/>
      <c r="AK58" s="30"/>
    </row>
    <row r="59" spans="1:37" x14ac:dyDescent="0.2">
      <c r="A59" s="308"/>
      <c r="B59" s="35"/>
      <c r="C59" s="266"/>
      <c r="D59" s="261"/>
      <c r="E59" s="29"/>
      <c r="F59" s="29"/>
      <c r="G59" s="29"/>
      <c r="H59" s="29"/>
      <c r="I59" s="262"/>
      <c r="J59" s="50">
        <f t="shared" si="103"/>
        <v>0</v>
      </c>
      <c r="L59" s="308"/>
      <c r="M59" s="85"/>
      <c r="N59" s="57"/>
      <c r="O59" s="29"/>
      <c r="P59" s="29"/>
      <c r="Q59" s="29"/>
      <c r="R59" s="29"/>
      <c r="S59" s="29"/>
      <c r="T59" s="29"/>
      <c r="U59" s="238">
        <f t="shared" si="99"/>
        <v>0</v>
      </c>
      <c r="V59" s="16"/>
      <c r="W59" s="308"/>
      <c r="X59" s="85"/>
      <c r="Y59" s="36"/>
      <c r="Z59" s="29"/>
      <c r="AA59" s="29"/>
      <c r="AB59" s="29"/>
      <c r="AC59" s="29"/>
      <c r="AD59" s="29"/>
      <c r="AE59" s="29"/>
      <c r="AF59" s="238">
        <f t="shared" si="100"/>
        <v>0</v>
      </c>
      <c r="AG59" s="30"/>
      <c r="AH59" s="30"/>
      <c r="AI59" s="30"/>
      <c r="AJ59" s="30"/>
      <c r="AK59" s="30"/>
    </row>
    <row r="60" spans="1:37" x14ac:dyDescent="0.2">
      <c r="A60" s="308"/>
      <c r="B60" s="77"/>
      <c r="C60" s="15"/>
      <c r="D60" s="261"/>
      <c r="E60" s="29"/>
      <c r="F60" s="29"/>
      <c r="G60" s="29"/>
      <c r="H60" s="29"/>
      <c r="I60" s="262"/>
      <c r="J60" s="50">
        <f t="shared" si="103"/>
        <v>0</v>
      </c>
      <c r="L60" s="308"/>
      <c r="M60" s="77"/>
      <c r="N60" s="78"/>
      <c r="O60" s="29"/>
      <c r="P60" s="29"/>
      <c r="Q60" s="29"/>
      <c r="R60" s="29"/>
      <c r="S60" s="29"/>
      <c r="T60" s="29"/>
      <c r="U60" s="238">
        <f t="shared" si="99"/>
        <v>0</v>
      </c>
      <c r="V60" s="16"/>
      <c r="W60" s="308"/>
      <c r="X60" s="77"/>
      <c r="Y60" s="78"/>
      <c r="Z60" s="29"/>
      <c r="AA60" s="29"/>
      <c r="AB60" s="29"/>
      <c r="AC60" s="29"/>
      <c r="AD60" s="29"/>
      <c r="AE60" s="29"/>
      <c r="AF60" s="238">
        <f t="shared" si="100"/>
        <v>0</v>
      </c>
      <c r="AG60" s="30"/>
      <c r="AH60" s="30"/>
      <c r="AI60" s="30"/>
      <c r="AJ60" s="30"/>
      <c r="AK60" s="30"/>
    </row>
    <row r="61" spans="1:37" ht="16" thickBot="1" x14ac:dyDescent="0.25">
      <c r="A61" s="308"/>
      <c r="B61" s="81"/>
      <c r="C61" s="255"/>
      <c r="D61" s="263"/>
      <c r="E61" s="264"/>
      <c r="F61" s="264"/>
      <c r="G61" s="264"/>
      <c r="H61" s="264"/>
      <c r="I61" s="265"/>
      <c r="J61" s="50">
        <f t="shared" si="103"/>
        <v>0</v>
      </c>
      <c r="L61" s="308"/>
      <c r="M61" s="81"/>
      <c r="N61" s="82"/>
      <c r="O61" s="29"/>
      <c r="P61" s="29"/>
      <c r="Q61" s="29"/>
      <c r="R61" s="29"/>
      <c r="S61" s="29"/>
      <c r="T61" s="29"/>
      <c r="U61" s="239">
        <f t="shared" si="99"/>
        <v>0</v>
      </c>
      <c r="V61" s="16"/>
      <c r="W61" s="308"/>
      <c r="X61" s="81"/>
      <c r="Y61" s="82"/>
      <c r="Z61" s="29"/>
      <c r="AA61" s="29"/>
      <c r="AB61" s="29"/>
      <c r="AC61" s="29"/>
      <c r="AD61" s="29"/>
      <c r="AE61" s="29"/>
      <c r="AF61" s="239">
        <f t="shared" si="100"/>
        <v>0</v>
      </c>
      <c r="AG61" s="31"/>
      <c r="AH61" s="31"/>
      <c r="AI61" s="31"/>
      <c r="AJ61" s="30"/>
      <c r="AK61" s="30"/>
    </row>
    <row r="62" spans="1:37" ht="15.75" customHeight="1" thickBot="1" x14ac:dyDescent="0.25">
      <c r="A62" s="308"/>
      <c r="B62" s="17" t="s">
        <v>32</v>
      </c>
      <c r="C62" s="17"/>
      <c r="D62" s="257">
        <f t="shared" ref="D62:I62" si="105">ROUND(SUM(D48:D61),0)</f>
        <v>0</v>
      </c>
      <c r="E62" s="257">
        <f t="shared" si="105"/>
        <v>482048</v>
      </c>
      <c r="F62" s="257">
        <f t="shared" si="105"/>
        <v>472048</v>
      </c>
      <c r="G62" s="257">
        <f t="shared" si="105"/>
        <v>182048</v>
      </c>
      <c r="H62" s="257">
        <f t="shared" si="105"/>
        <v>0</v>
      </c>
      <c r="I62" s="257">
        <f t="shared" si="105"/>
        <v>0</v>
      </c>
      <c r="J62" s="54">
        <f t="shared" si="103"/>
        <v>1136144</v>
      </c>
      <c r="L62" s="308"/>
      <c r="M62" s="17" t="s">
        <v>32</v>
      </c>
      <c r="N62" s="17"/>
      <c r="O62" s="28">
        <f t="shared" ref="O62:T62" si="106">ROUND(SUM(O48:O61),0)</f>
        <v>0</v>
      </c>
      <c r="P62" s="28">
        <f t="shared" si="106"/>
        <v>0</v>
      </c>
      <c r="Q62" s="28">
        <f t="shared" si="106"/>
        <v>0</v>
      </c>
      <c r="R62" s="28">
        <f t="shared" si="106"/>
        <v>0</v>
      </c>
      <c r="S62" s="28">
        <f t="shared" si="106"/>
        <v>0</v>
      </c>
      <c r="T62" s="28">
        <f t="shared" si="106"/>
        <v>0</v>
      </c>
      <c r="U62" s="257">
        <f t="shared" si="99"/>
        <v>0</v>
      </c>
      <c r="V62" s="22"/>
      <c r="W62" s="308"/>
      <c r="X62" s="17" t="s">
        <v>32</v>
      </c>
      <c r="Y62" s="17"/>
      <c r="Z62" s="28">
        <f t="shared" ref="Z62:AE62" si="107">ROUND(SUM(Z48:Z61),0)</f>
        <v>0</v>
      </c>
      <c r="AA62" s="28">
        <f t="shared" si="107"/>
        <v>0</v>
      </c>
      <c r="AB62" s="28">
        <f t="shared" si="107"/>
        <v>0</v>
      </c>
      <c r="AC62" s="28">
        <f t="shared" si="107"/>
        <v>0</v>
      </c>
      <c r="AD62" s="28">
        <f t="shared" si="107"/>
        <v>0</v>
      </c>
      <c r="AE62" s="28">
        <f t="shared" si="107"/>
        <v>0</v>
      </c>
      <c r="AF62" s="257">
        <f t="shared" si="100"/>
        <v>0</v>
      </c>
      <c r="AG62" s="31"/>
      <c r="AH62" s="31"/>
      <c r="AI62" s="31"/>
      <c r="AJ62" s="30"/>
      <c r="AK62" s="30"/>
    </row>
    <row r="63" spans="1:37" ht="15" customHeight="1" x14ac:dyDescent="0.2">
      <c r="A63" s="304" t="s">
        <v>18</v>
      </c>
      <c r="B63" s="19"/>
      <c r="C63" s="19"/>
      <c r="D63" s="13">
        <f t="shared" ref="D63:I63" si="108">D9</f>
        <v>2019</v>
      </c>
      <c r="E63" s="13">
        <f t="shared" si="108"/>
        <v>2020</v>
      </c>
      <c r="F63" s="13">
        <f t="shared" si="108"/>
        <v>2021</v>
      </c>
      <c r="G63" s="13">
        <f t="shared" si="108"/>
        <v>2022</v>
      </c>
      <c r="H63" s="13">
        <f t="shared" si="108"/>
        <v>2023</v>
      </c>
      <c r="I63" s="13">
        <f t="shared" si="108"/>
        <v>2024</v>
      </c>
      <c r="J63" s="46" t="s">
        <v>0</v>
      </c>
      <c r="L63" s="304" t="s">
        <v>18</v>
      </c>
      <c r="M63" s="37"/>
      <c r="N63" s="37"/>
      <c r="O63" s="13">
        <f t="shared" ref="O63:T63" si="109">O9</f>
        <v>2019</v>
      </c>
      <c r="P63" s="13">
        <f t="shared" si="109"/>
        <v>2020</v>
      </c>
      <c r="Q63" s="13">
        <f t="shared" si="109"/>
        <v>2021</v>
      </c>
      <c r="R63" s="13">
        <f t="shared" si="109"/>
        <v>2022</v>
      </c>
      <c r="S63" s="13">
        <f t="shared" si="109"/>
        <v>2023</v>
      </c>
      <c r="T63" s="13">
        <f t="shared" si="109"/>
        <v>2024</v>
      </c>
      <c r="U63" s="13" t="s">
        <v>0</v>
      </c>
      <c r="V63" s="14"/>
      <c r="W63" s="304" t="s">
        <v>18</v>
      </c>
      <c r="X63" s="37"/>
      <c r="Y63" s="37"/>
      <c r="Z63" s="13">
        <f t="shared" ref="Z63:AE63" si="110">Z9</f>
        <v>2019</v>
      </c>
      <c r="AA63" s="13">
        <f t="shared" si="110"/>
        <v>2020</v>
      </c>
      <c r="AB63" s="13">
        <f t="shared" si="110"/>
        <v>2021</v>
      </c>
      <c r="AC63" s="13">
        <f t="shared" si="110"/>
        <v>2022</v>
      </c>
      <c r="AD63" s="13">
        <f t="shared" si="110"/>
        <v>2023</v>
      </c>
      <c r="AE63" s="13">
        <f t="shared" si="110"/>
        <v>2024</v>
      </c>
      <c r="AF63" s="13" t="s">
        <v>0</v>
      </c>
      <c r="AG63" s="31"/>
      <c r="AH63" s="31"/>
      <c r="AI63" s="32"/>
      <c r="AJ63" s="30"/>
      <c r="AK63" s="30"/>
    </row>
    <row r="64" spans="1:37" x14ac:dyDescent="0.2">
      <c r="A64" s="305"/>
      <c r="B64" s="33" t="s">
        <v>19</v>
      </c>
      <c r="C64" s="33"/>
      <c r="D64" s="22">
        <f t="shared" ref="D64:I64" si="111">D41+D46+D62</f>
        <v>0</v>
      </c>
      <c r="E64" s="22">
        <f t="shared" si="111"/>
        <v>915975</v>
      </c>
      <c r="F64" s="22">
        <f t="shared" si="111"/>
        <v>889154</v>
      </c>
      <c r="G64" s="22">
        <f t="shared" si="111"/>
        <v>607496</v>
      </c>
      <c r="H64" s="22">
        <f t="shared" si="111"/>
        <v>0</v>
      </c>
      <c r="I64" s="22">
        <f t="shared" si="111"/>
        <v>0</v>
      </c>
      <c r="J64" s="50">
        <f>SUM(D64:I64)</f>
        <v>2412625</v>
      </c>
      <c r="L64" s="305"/>
      <c r="M64" s="33" t="s">
        <v>19</v>
      </c>
      <c r="N64" s="33"/>
      <c r="O64" s="22">
        <f t="shared" ref="O64:T64" si="112">O41+O46+O62</f>
        <v>56778</v>
      </c>
      <c r="P64" s="22">
        <f t="shared" si="112"/>
        <v>115828</v>
      </c>
      <c r="Q64" s="22">
        <f t="shared" si="112"/>
        <v>118144</v>
      </c>
      <c r="R64" s="22">
        <f t="shared" si="112"/>
        <v>120507</v>
      </c>
      <c r="S64" s="22">
        <f t="shared" si="112"/>
        <v>122917</v>
      </c>
      <c r="T64" s="22">
        <f t="shared" si="112"/>
        <v>0</v>
      </c>
      <c r="U64" s="22">
        <f>SUM(O64:T64)</f>
        <v>534174</v>
      </c>
      <c r="V64" s="22"/>
      <c r="W64" s="305"/>
      <c r="X64" s="33" t="s">
        <v>19</v>
      </c>
      <c r="Y64" s="33"/>
      <c r="Z64" s="22">
        <f t="shared" ref="Z64:AE64" si="113">Z41+Z46+Z62</f>
        <v>0</v>
      </c>
      <c r="AA64" s="22">
        <f t="shared" si="113"/>
        <v>0</v>
      </c>
      <c r="AB64" s="22">
        <f t="shared" si="113"/>
        <v>0</v>
      </c>
      <c r="AC64" s="22">
        <f t="shared" si="113"/>
        <v>0</v>
      </c>
      <c r="AD64" s="22">
        <f t="shared" si="113"/>
        <v>0</v>
      </c>
      <c r="AE64" s="22">
        <f t="shared" si="113"/>
        <v>0</v>
      </c>
      <c r="AF64" s="22">
        <f>SUM(Z64:AE64)</f>
        <v>0</v>
      </c>
      <c r="AG64" s="31"/>
      <c r="AH64" s="31"/>
      <c r="AI64" s="32"/>
      <c r="AJ64" s="30"/>
      <c r="AK64" s="30"/>
    </row>
    <row r="65" spans="1:37" x14ac:dyDescent="0.2">
      <c r="A65" s="305"/>
      <c r="B65" s="33" t="s">
        <v>1</v>
      </c>
      <c r="C65" s="34">
        <v>0.05</v>
      </c>
      <c r="D65" s="22">
        <f>D64*$C$65</f>
        <v>0</v>
      </c>
      <c r="E65" s="22">
        <f t="shared" ref="E65:I65" si="114">E64*$C$65</f>
        <v>45798.75</v>
      </c>
      <c r="F65" s="22">
        <f t="shared" si="114"/>
        <v>44457.700000000004</v>
      </c>
      <c r="G65" s="22">
        <f t="shared" si="114"/>
        <v>30374.800000000003</v>
      </c>
      <c r="H65" s="22">
        <f t="shared" si="114"/>
        <v>0</v>
      </c>
      <c r="I65" s="22">
        <f t="shared" si="114"/>
        <v>0</v>
      </c>
      <c r="J65" s="50">
        <f>SUM(D65:I65)</f>
        <v>120631.25000000001</v>
      </c>
      <c r="L65" s="305"/>
      <c r="M65" s="33" t="s">
        <v>1</v>
      </c>
      <c r="N65" s="34">
        <v>0</v>
      </c>
      <c r="O65" s="22">
        <f>O64*$N65</f>
        <v>0</v>
      </c>
      <c r="P65" s="22">
        <f t="shared" ref="P65:T65" si="115">P64*$N65</f>
        <v>0</v>
      </c>
      <c r="Q65" s="22">
        <f t="shared" si="115"/>
        <v>0</v>
      </c>
      <c r="R65" s="22">
        <f t="shared" si="115"/>
        <v>0</v>
      </c>
      <c r="S65" s="22">
        <f t="shared" si="115"/>
        <v>0</v>
      </c>
      <c r="T65" s="22">
        <f t="shared" si="115"/>
        <v>0</v>
      </c>
      <c r="U65" s="22">
        <f>SUM(O65:T65)</f>
        <v>0</v>
      </c>
      <c r="V65" s="22"/>
      <c r="W65" s="305"/>
      <c r="X65" s="33" t="s">
        <v>1</v>
      </c>
      <c r="Y65" s="34">
        <v>0</v>
      </c>
      <c r="Z65" s="22">
        <f>Z64*$Y65</f>
        <v>0</v>
      </c>
      <c r="AA65" s="22">
        <f t="shared" ref="AA65:AE65" si="116">AA64*$Y65</f>
        <v>0</v>
      </c>
      <c r="AB65" s="22">
        <f t="shared" si="116"/>
        <v>0</v>
      </c>
      <c r="AC65" s="22">
        <f t="shared" si="116"/>
        <v>0</v>
      </c>
      <c r="AD65" s="22">
        <f t="shared" si="116"/>
        <v>0</v>
      </c>
      <c r="AE65" s="22">
        <f t="shared" si="116"/>
        <v>0</v>
      </c>
      <c r="AF65" s="22">
        <f>SUM(Z65:AE65)</f>
        <v>0</v>
      </c>
      <c r="AG65" s="30"/>
      <c r="AH65" s="30"/>
      <c r="AI65" s="31"/>
      <c r="AJ65" s="30"/>
      <c r="AK65" s="30"/>
    </row>
    <row r="66" spans="1:37" ht="16" thickBot="1" x14ac:dyDescent="0.25">
      <c r="A66" s="306"/>
      <c r="B66" s="17" t="s">
        <v>20</v>
      </c>
      <c r="C66" s="17"/>
      <c r="D66" s="28">
        <f t="shared" ref="D66:I66" si="117">SUM(D64:D65)</f>
        <v>0</v>
      </c>
      <c r="E66" s="28">
        <f t="shared" si="117"/>
        <v>961773.75</v>
      </c>
      <c r="F66" s="28">
        <f t="shared" si="117"/>
        <v>933611.7</v>
      </c>
      <c r="G66" s="28">
        <f t="shared" si="117"/>
        <v>637870.80000000005</v>
      </c>
      <c r="H66" s="28">
        <f t="shared" si="117"/>
        <v>0</v>
      </c>
      <c r="I66" s="28">
        <f t="shared" si="117"/>
        <v>0</v>
      </c>
      <c r="J66" s="54">
        <f>SUM(D66:I66)</f>
        <v>2533256.25</v>
      </c>
      <c r="L66" s="306"/>
      <c r="M66" s="17" t="s">
        <v>20</v>
      </c>
      <c r="N66" s="17"/>
      <c r="O66" s="28">
        <f t="shared" ref="O66:T66" si="118">SUM(O64:O65)</f>
        <v>56778</v>
      </c>
      <c r="P66" s="28">
        <f t="shared" si="118"/>
        <v>115828</v>
      </c>
      <c r="Q66" s="28">
        <f t="shared" si="118"/>
        <v>118144</v>
      </c>
      <c r="R66" s="28">
        <f t="shared" si="118"/>
        <v>120507</v>
      </c>
      <c r="S66" s="28">
        <f t="shared" si="118"/>
        <v>122917</v>
      </c>
      <c r="T66" s="28">
        <f t="shared" si="118"/>
        <v>0</v>
      </c>
      <c r="U66" s="28">
        <f>SUM(O66:T66)</f>
        <v>534174</v>
      </c>
      <c r="V66" s="22"/>
      <c r="W66" s="306"/>
      <c r="X66" s="17" t="s">
        <v>20</v>
      </c>
      <c r="Y66" s="17"/>
      <c r="Z66" s="28">
        <f t="shared" ref="Z66:AE66" si="119">SUM(Z64:Z65)</f>
        <v>0</v>
      </c>
      <c r="AA66" s="28">
        <f t="shared" si="119"/>
        <v>0</v>
      </c>
      <c r="AB66" s="28">
        <f t="shared" si="119"/>
        <v>0</v>
      </c>
      <c r="AC66" s="28">
        <f t="shared" si="119"/>
        <v>0</v>
      </c>
      <c r="AD66" s="28">
        <f t="shared" si="119"/>
        <v>0</v>
      </c>
      <c r="AE66" s="28">
        <f t="shared" si="119"/>
        <v>0</v>
      </c>
      <c r="AF66" s="28">
        <f>SUM(Z66:AE66)</f>
        <v>0</v>
      </c>
      <c r="AG66" s="30"/>
      <c r="AH66" s="30"/>
      <c r="AI66" s="31"/>
      <c r="AJ66" s="30"/>
      <c r="AK66" s="30"/>
    </row>
    <row r="67" spans="1:37" x14ac:dyDescent="0.2">
      <c r="A67" s="42"/>
      <c r="B67" s="33" t="s">
        <v>71</v>
      </c>
      <c r="C67" s="33"/>
      <c r="E67" s="22">
        <f>J66+U66+AF66</f>
        <v>3067430.25</v>
      </c>
      <c r="F67" s="22"/>
      <c r="G67" s="22" t="s">
        <v>111</v>
      </c>
      <c r="H67" s="22">
        <f>500000/J64*100</f>
        <v>20.724314802341848</v>
      </c>
      <c r="I67" s="22"/>
      <c r="J67" s="22"/>
      <c r="L67" s="42"/>
      <c r="M67" s="33"/>
      <c r="N67" s="33"/>
      <c r="O67" s="22"/>
      <c r="P67" s="22"/>
      <c r="Q67" s="22"/>
      <c r="R67" s="22"/>
      <c r="S67" s="22"/>
      <c r="T67" s="22"/>
      <c r="U67" s="22"/>
      <c r="V67" s="22"/>
      <c r="W67" s="42"/>
      <c r="X67" s="33"/>
      <c r="Y67" s="33"/>
      <c r="Z67" s="22"/>
      <c r="AA67" s="22"/>
      <c r="AB67" s="22"/>
      <c r="AC67" s="22"/>
      <c r="AD67" s="22"/>
      <c r="AE67" s="22"/>
      <c r="AF67" s="22"/>
      <c r="AG67" s="30"/>
      <c r="AH67" s="30"/>
      <c r="AI67" s="31"/>
      <c r="AJ67" s="30"/>
      <c r="AK67" s="30"/>
    </row>
    <row r="68" spans="1:37" x14ac:dyDescent="0.2">
      <c r="A68" s="42"/>
      <c r="B68" s="33" t="s">
        <v>72</v>
      </c>
      <c r="C68" s="33"/>
      <c r="D68" s="22"/>
      <c r="E68" s="22">
        <f>J64+U64+AF64</f>
        <v>2946799</v>
      </c>
      <c r="F68" s="22"/>
      <c r="G68" s="22"/>
      <c r="H68" s="22"/>
      <c r="I68" s="22"/>
      <c r="J68" s="22"/>
      <c r="L68" s="42"/>
      <c r="M68" s="33"/>
      <c r="N68" s="33"/>
      <c r="O68" s="22"/>
      <c r="P68" s="22"/>
      <c r="Q68" s="22"/>
      <c r="R68" s="22"/>
      <c r="S68" s="22"/>
      <c r="T68" s="22"/>
      <c r="U68" s="22"/>
      <c r="V68" s="22"/>
      <c r="W68" s="42"/>
      <c r="X68" s="33"/>
      <c r="Y68" s="33"/>
      <c r="Z68" s="22"/>
      <c r="AA68" s="22"/>
      <c r="AB68" s="22"/>
      <c r="AC68" s="22"/>
      <c r="AD68" s="22"/>
      <c r="AE68" s="22"/>
      <c r="AF68" s="22"/>
      <c r="AG68" s="30"/>
      <c r="AH68" s="30"/>
      <c r="AI68" s="31"/>
      <c r="AJ68" s="30"/>
      <c r="AK68" s="30"/>
    </row>
    <row r="70" spans="1:37" ht="32" thickBot="1" x14ac:dyDescent="0.25">
      <c r="A70" s="6"/>
      <c r="B70" s="45" t="s">
        <v>86</v>
      </c>
      <c r="C70" s="215"/>
      <c r="D70" s="215" t="s">
        <v>21</v>
      </c>
      <c r="E70" s="215"/>
      <c r="F70" s="215"/>
      <c r="G70" s="215"/>
      <c r="H70" s="215"/>
      <c r="I70" s="215"/>
      <c r="J70" s="215"/>
      <c r="K70" s="7"/>
      <c r="L70" s="322"/>
      <c r="M70" s="322"/>
      <c r="N70" s="322"/>
      <c r="O70" s="322"/>
      <c r="P70" s="322"/>
      <c r="Q70" s="322"/>
      <c r="R70" s="322"/>
      <c r="S70" s="322"/>
      <c r="T70" s="322"/>
      <c r="U70" s="322"/>
      <c r="V70" s="6"/>
      <c r="W70" s="8"/>
      <c r="X70" s="9"/>
      <c r="Y70" s="9"/>
      <c r="Z70" s="9"/>
      <c r="AA70" s="9"/>
      <c r="AB70" s="9"/>
      <c r="AC70" s="9"/>
      <c r="AD70" s="9"/>
      <c r="AE70" s="9"/>
      <c r="AF70" s="9"/>
    </row>
    <row r="71" spans="1:37" ht="27" hidden="1" thickBot="1" x14ac:dyDescent="0.25">
      <c r="A71" s="323" t="s">
        <v>26</v>
      </c>
      <c r="B71" s="323"/>
      <c r="C71" s="323"/>
      <c r="D71" s="323"/>
      <c r="E71" s="323"/>
      <c r="F71" s="323"/>
      <c r="G71" s="323"/>
      <c r="H71" s="323"/>
      <c r="I71" s="323"/>
      <c r="J71" s="323"/>
      <c r="L71" s="324" t="s">
        <v>28</v>
      </c>
      <c r="M71" s="324"/>
      <c r="N71" s="324"/>
      <c r="O71" s="324"/>
      <c r="P71" s="324"/>
      <c r="Q71" s="324"/>
      <c r="R71" s="324"/>
      <c r="S71" s="324"/>
      <c r="T71" s="324"/>
      <c r="U71" s="324"/>
      <c r="V71" s="10"/>
      <c r="W71" s="324" t="s">
        <v>27</v>
      </c>
      <c r="X71" s="324"/>
      <c r="Y71" s="324"/>
      <c r="Z71" s="324"/>
      <c r="AA71" s="324"/>
      <c r="AB71" s="324"/>
      <c r="AC71" s="324"/>
      <c r="AD71" s="324"/>
      <c r="AE71" s="324"/>
      <c r="AF71" s="324"/>
    </row>
    <row r="72" spans="1:37" ht="27" thickBot="1" x14ac:dyDescent="0.25">
      <c r="A72" s="313" t="s">
        <v>25</v>
      </c>
      <c r="B72" s="313"/>
      <c r="C72" s="313"/>
      <c r="D72" s="313"/>
      <c r="E72" s="313"/>
      <c r="F72" s="313"/>
      <c r="G72" s="313"/>
      <c r="H72" s="313"/>
      <c r="I72" s="313"/>
      <c r="J72" s="313"/>
      <c r="K72" s="43"/>
      <c r="L72" s="315" t="s">
        <v>6</v>
      </c>
      <c r="M72" s="315"/>
      <c r="N72" s="315"/>
      <c r="O72" s="315"/>
      <c r="P72" s="315"/>
      <c r="Q72" s="315"/>
      <c r="R72" s="315"/>
      <c r="S72" s="315"/>
      <c r="T72" s="315"/>
      <c r="U72" s="315"/>
      <c r="V72" s="11"/>
      <c r="W72" s="316" t="s">
        <v>7</v>
      </c>
      <c r="X72" s="316"/>
      <c r="Y72" s="316"/>
      <c r="Z72" s="316"/>
      <c r="AA72" s="316"/>
      <c r="AB72" s="316"/>
      <c r="AC72" s="316"/>
      <c r="AD72" s="316"/>
      <c r="AE72" s="316"/>
      <c r="AF72" s="316"/>
    </row>
    <row r="73" spans="1:37" x14ac:dyDescent="0.2">
      <c r="A73" s="307" t="s">
        <v>8</v>
      </c>
      <c r="B73" s="318" t="s">
        <v>9</v>
      </c>
      <c r="C73" s="319"/>
      <c r="D73" s="12">
        <v>2019</v>
      </c>
      <c r="E73" s="12">
        <v>2020</v>
      </c>
      <c r="F73" s="12">
        <v>2021</v>
      </c>
      <c r="G73" s="12">
        <v>2022</v>
      </c>
      <c r="H73" s="12">
        <v>2023</v>
      </c>
      <c r="I73" s="12">
        <v>2024</v>
      </c>
      <c r="J73" s="46" t="s">
        <v>0</v>
      </c>
      <c r="L73" s="307" t="s">
        <v>8</v>
      </c>
      <c r="M73" s="318" t="s">
        <v>9</v>
      </c>
      <c r="N73" s="319"/>
      <c r="O73" s="12">
        <v>2019</v>
      </c>
      <c r="P73" s="12">
        <v>2020</v>
      </c>
      <c r="Q73" s="12">
        <v>2021</v>
      </c>
      <c r="R73" s="12">
        <v>2022</v>
      </c>
      <c r="S73" s="12">
        <v>2023</v>
      </c>
      <c r="T73" s="12">
        <v>2024</v>
      </c>
      <c r="U73" s="13" t="s">
        <v>0</v>
      </c>
      <c r="V73" s="14"/>
      <c r="W73" s="307" t="s">
        <v>8</v>
      </c>
      <c r="X73" s="318" t="s">
        <v>9</v>
      </c>
      <c r="Y73" s="319"/>
      <c r="Z73" s="12">
        <v>2019</v>
      </c>
      <c r="AA73" s="12">
        <v>2020</v>
      </c>
      <c r="AB73" s="12">
        <v>2021</v>
      </c>
      <c r="AC73" s="12">
        <v>2022</v>
      </c>
      <c r="AD73" s="12">
        <v>2023</v>
      </c>
      <c r="AE73" s="12">
        <v>2024</v>
      </c>
      <c r="AF73" s="13" t="s">
        <v>0</v>
      </c>
    </row>
    <row r="74" spans="1:37" ht="16" thickBot="1" x14ac:dyDescent="0.25">
      <c r="A74" s="308"/>
      <c r="B74" s="326" t="s">
        <v>29</v>
      </c>
      <c r="C74" s="327"/>
      <c r="D74" s="38"/>
      <c r="E74" s="38"/>
      <c r="F74" s="38"/>
      <c r="G74" s="38"/>
      <c r="H74" s="38"/>
      <c r="I74" s="38"/>
      <c r="J74" s="48">
        <f>SUM(J75:J83)</f>
        <v>0</v>
      </c>
      <c r="L74" s="308"/>
      <c r="M74" s="311" t="s">
        <v>29</v>
      </c>
      <c r="N74" s="312"/>
      <c r="O74" s="38"/>
      <c r="P74" s="38"/>
      <c r="Q74" s="38"/>
      <c r="R74" s="38"/>
      <c r="S74" s="38"/>
      <c r="T74" s="38"/>
      <c r="U74" s="39">
        <f>SUM(U75:U83)</f>
        <v>0</v>
      </c>
      <c r="V74" s="16"/>
      <c r="W74" s="308"/>
      <c r="X74" s="311" t="s">
        <v>29</v>
      </c>
      <c r="Y74" s="312"/>
      <c r="Z74" s="38"/>
      <c r="AA74" s="38"/>
      <c r="AB74" s="38"/>
      <c r="AC74" s="38"/>
      <c r="AD74" s="38"/>
      <c r="AE74" s="38"/>
      <c r="AF74" s="39">
        <f>SUM(AF75:AF83)</f>
        <v>0</v>
      </c>
    </row>
    <row r="75" spans="1:37" x14ac:dyDescent="0.2">
      <c r="A75" s="317"/>
      <c r="B75" s="219"/>
      <c r="C75" s="220"/>
      <c r="D75" s="15"/>
      <c r="E75" s="15"/>
      <c r="F75" s="15"/>
      <c r="G75" s="15"/>
      <c r="H75" s="15"/>
      <c r="I75" s="15"/>
      <c r="J75" s="228">
        <f t="shared" ref="J75:J83" si="120">SUM(D75:I75)</f>
        <v>0</v>
      </c>
      <c r="L75" s="308"/>
      <c r="M75" s="86">
        <f>$B75</f>
        <v>0</v>
      </c>
      <c r="N75" s="87"/>
      <c r="O75" s="15"/>
      <c r="P75" s="15"/>
      <c r="Q75" s="15"/>
      <c r="R75" s="15"/>
      <c r="S75" s="15"/>
      <c r="T75" s="15"/>
      <c r="U75" s="228">
        <f t="shared" ref="U75:U83" si="121">SUM(O75:T75)</f>
        <v>0</v>
      </c>
      <c r="V75" s="16"/>
      <c r="W75" s="308"/>
      <c r="X75" s="86">
        <f>$B75</f>
        <v>0</v>
      </c>
      <c r="Y75" s="87"/>
      <c r="Z75" s="15"/>
      <c r="AA75" s="15"/>
      <c r="AB75" s="15"/>
      <c r="AC75" s="15"/>
      <c r="AD75" s="15"/>
      <c r="AE75" s="15"/>
      <c r="AF75" s="228">
        <f t="shared" ref="AF75:AF83" si="122">SUM(Z75:AE75)</f>
        <v>0</v>
      </c>
    </row>
    <row r="76" spans="1:37" x14ac:dyDescent="0.2">
      <c r="A76" s="317"/>
      <c r="B76" s="221"/>
      <c r="C76" s="222"/>
      <c r="D76" s="15"/>
      <c r="E76" s="15"/>
      <c r="F76" s="15"/>
      <c r="G76" s="15"/>
      <c r="H76" s="15"/>
      <c r="I76" s="15"/>
      <c r="J76" s="229">
        <f t="shared" si="120"/>
        <v>0</v>
      </c>
      <c r="L76" s="308"/>
      <c r="M76" s="88">
        <f t="shared" ref="M76:M83" si="123">$B76</f>
        <v>0</v>
      </c>
      <c r="N76" s="89"/>
      <c r="O76" s="15"/>
      <c r="P76" s="15"/>
      <c r="Q76" s="15"/>
      <c r="R76" s="15"/>
      <c r="S76" s="15"/>
      <c r="T76" s="15"/>
      <c r="U76" s="229">
        <f t="shared" si="121"/>
        <v>0</v>
      </c>
      <c r="V76" s="16"/>
      <c r="W76" s="308"/>
      <c r="X76" s="88">
        <f t="shared" ref="X76:X83" si="124">$B76</f>
        <v>0</v>
      </c>
      <c r="Y76" s="89"/>
      <c r="Z76" s="15"/>
      <c r="AA76" s="15"/>
      <c r="AB76" s="15"/>
      <c r="AC76" s="15"/>
      <c r="AD76" s="15"/>
      <c r="AE76" s="15"/>
      <c r="AF76" s="229">
        <f t="shared" si="122"/>
        <v>0</v>
      </c>
    </row>
    <row r="77" spans="1:37" x14ac:dyDescent="0.2">
      <c r="A77" s="317"/>
      <c r="B77" s="221"/>
      <c r="C77" s="222"/>
      <c r="D77" s="15"/>
      <c r="E77" s="15"/>
      <c r="F77" s="15"/>
      <c r="G77" s="15"/>
      <c r="H77" s="15"/>
      <c r="I77" s="15"/>
      <c r="J77" s="229">
        <f t="shared" si="120"/>
        <v>0</v>
      </c>
      <c r="L77" s="308"/>
      <c r="M77" s="88">
        <f t="shared" si="123"/>
        <v>0</v>
      </c>
      <c r="N77" s="89"/>
      <c r="O77" s="15"/>
      <c r="P77" s="15"/>
      <c r="Q77" s="15"/>
      <c r="R77" s="15"/>
      <c r="S77" s="15"/>
      <c r="T77" s="15"/>
      <c r="U77" s="229">
        <f t="shared" si="121"/>
        <v>0</v>
      </c>
      <c r="V77" s="16"/>
      <c r="W77" s="308"/>
      <c r="X77" s="88">
        <f t="shared" si="124"/>
        <v>0</v>
      </c>
      <c r="Y77" s="89"/>
      <c r="Z77" s="15"/>
      <c r="AA77" s="15"/>
      <c r="AB77" s="15"/>
      <c r="AC77" s="15"/>
      <c r="AD77" s="15"/>
      <c r="AE77" s="15"/>
      <c r="AF77" s="229">
        <f t="shared" si="122"/>
        <v>0</v>
      </c>
    </row>
    <row r="78" spans="1:37" x14ac:dyDescent="0.2">
      <c r="A78" s="317"/>
      <c r="B78" s="221"/>
      <c r="C78" s="222"/>
      <c r="D78" s="15"/>
      <c r="E78" s="15"/>
      <c r="F78" s="15"/>
      <c r="G78" s="15"/>
      <c r="H78" s="15"/>
      <c r="I78" s="15"/>
      <c r="J78" s="229">
        <f t="shared" si="120"/>
        <v>0</v>
      </c>
      <c r="L78" s="308"/>
      <c r="M78" s="88">
        <f t="shared" si="123"/>
        <v>0</v>
      </c>
      <c r="N78" s="89"/>
      <c r="O78" s="15"/>
      <c r="P78" s="15"/>
      <c r="Q78" s="15"/>
      <c r="R78" s="15"/>
      <c r="S78" s="15"/>
      <c r="T78" s="15"/>
      <c r="U78" s="229">
        <f t="shared" si="121"/>
        <v>0</v>
      </c>
      <c r="V78" s="16"/>
      <c r="W78" s="308"/>
      <c r="X78" s="88">
        <f t="shared" si="124"/>
        <v>0</v>
      </c>
      <c r="Y78" s="89"/>
      <c r="Z78" s="15"/>
      <c r="AA78" s="15"/>
      <c r="AB78" s="15"/>
      <c r="AC78" s="15"/>
      <c r="AD78" s="15"/>
      <c r="AE78" s="15"/>
      <c r="AF78" s="229">
        <f t="shared" si="122"/>
        <v>0</v>
      </c>
    </row>
    <row r="79" spans="1:37" x14ac:dyDescent="0.2">
      <c r="A79" s="317"/>
      <c r="B79" s="221"/>
      <c r="C79" s="222"/>
      <c r="D79" s="15"/>
      <c r="E79" s="15"/>
      <c r="F79" s="15"/>
      <c r="G79" s="15"/>
      <c r="H79" s="15"/>
      <c r="I79" s="15"/>
      <c r="J79" s="229">
        <f t="shared" si="120"/>
        <v>0</v>
      </c>
      <c r="L79" s="308"/>
      <c r="M79" s="88">
        <f t="shared" si="123"/>
        <v>0</v>
      </c>
      <c r="N79" s="89"/>
      <c r="O79" s="15"/>
      <c r="P79" s="15"/>
      <c r="Q79" s="15"/>
      <c r="R79" s="15"/>
      <c r="S79" s="15"/>
      <c r="T79" s="15"/>
      <c r="U79" s="229">
        <f t="shared" si="121"/>
        <v>0</v>
      </c>
      <c r="V79" s="16"/>
      <c r="W79" s="308"/>
      <c r="X79" s="88">
        <f t="shared" si="124"/>
        <v>0</v>
      </c>
      <c r="Y79" s="89"/>
      <c r="Z79" s="15"/>
      <c r="AA79" s="15"/>
      <c r="AB79" s="15"/>
      <c r="AC79" s="15"/>
      <c r="AD79" s="15"/>
      <c r="AE79" s="15"/>
      <c r="AF79" s="229">
        <f t="shared" si="122"/>
        <v>0</v>
      </c>
    </row>
    <row r="80" spans="1:37" x14ac:dyDescent="0.2">
      <c r="A80" s="317"/>
      <c r="B80" s="221"/>
      <c r="C80" s="222"/>
      <c r="D80" s="15"/>
      <c r="E80" s="15"/>
      <c r="F80" s="15"/>
      <c r="G80" s="15"/>
      <c r="H80" s="15"/>
      <c r="I80" s="15"/>
      <c r="J80" s="229">
        <f t="shared" si="120"/>
        <v>0</v>
      </c>
      <c r="L80" s="308"/>
      <c r="M80" s="88">
        <f t="shared" si="123"/>
        <v>0</v>
      </c>
      <c r="N80" s="89"/>
      <c r="O80" s="15"/>
      <c r="P80" s="15"/>
      <c r="Q80" s="15"/>
      <c r="R80" s="15"/>
      <c r="S80" s="15"/>
      <c r="T80" s="15"/>
      <c r="U80" s="229">
        <f t="shared" si="121"/>
        <v>0</v>
      </c>
      <c r="V80" s="16"/>
      <c r="W80" s="308"/>
      <c r="X80" s="88">
        <f t="shared" si="124"/>
        <v>0</v>
      </c>
      <c r="Y80" s="89"/>
      <c r="Z80" s="15"/>
      <c r="AA80" s="15"/>
      <c r="AB80" s="15"/>
      <c r="AC80" s="15"/>
      <c r="AD80" s="15"/>
      <c r="AE80" s="15"/>
      <c r="AF80" s="229">
        <f t="shared" si="122"/>
        <v>0</v>
      </c>
    </row>
    <row r="81" spans="1:32" x14ac:dyDescent="0.2">
      <c r="A81" s="317"/>
      <c r="B81" s="280"/>
      <c r="C81" s="224"/>
      <c r="D81" s="15"/>
      <c r="E81" s="15"/>
      <c r="F81" s="15"/>
      <c r="G81" s="15"/>
      <c r="H81" s="15"/>
      <c r="I81" s="15"/>
      <c r="J81" s="229">
        <f t="shared" si="120"/>
        <v>0</v>
      </c>
      <c r="L81" s="308"/>
      <c r="M81" s="88">
        <f t="shared" si="123"/>
        <v>0</v>
      </c>
      <c r="N81" s="90"/>
      <c r="O81" s="15"/>
      <c r="P81" s="15"/>
      <c r="Q81" s="15"/>
      <c r="R81" s="15"/>
      <c r="S81" s="15"/>
      <c r="T81" s="15"/>
      <c r="U81" s="229">
        <f t="shared" si="121"/>
        <v>0</v>
      </c>
      <c r="V81" s="16"/>
      <c r="W81" s="308"/>
      <c r="X81" s="88">
        <f t="shared" si="124"/>
        <v>0</v>
      </c>
      <c r="Y81" s="90"/>
      <c r="Z81" s="15"/>
      <c r="AA81" s="15"/>
      <c r="AB81" s="15"/>
      <c r="AC81" s="15"/>
      <c r="AD81" s="15"/>
      <c r="AE81" s="15"/>
      <c r="AF81" s="229">
        <f t="shared" si="122"/>
        <v>0</v>
      </c>
    </row>
    <row r="82" spans="1:32" x14ac:dyDescent="0.2">
      <c r="A82" s="317"/>
      <c r="B82" s="223"/>
      <c r="C82" s="224"/>
      <c r="D82" s="15"/>
      <c r="E82" s="15"/>
      <c r="F82" s="15"/>
      <c r="G82" s="15"/>
      <c r="H82" s="15"/>
      <c r="I82" s="15"/>
      <c r="J82" s="229">
        <f t="shared" si="120"/>
        <v>0</v>
      </c>
      <c r="L82" s="308"/>
      <c r="M82" s="88">
        <f t="shared" si="123"/>
        <v>0</v>
      </c>
      <c r="N82" s="90"/>
      <c r="O82" s="15"/>
      <c r="P82" s="15"/>
      <c r="Q82" s="15"/>
      <c r="R82" s="15"/>
      <c r="S82" s="15"/>
      <c r="T82" s="15"/>
      <c r="U82" s="229">
        <f t="shared" si="121"/>
        <v>0</v>
      </c>
      <c r="V82" s="16"/>
      <c r="W82" s="308"/>
      <c r="X82" s="88">
        <f t="shared" si="124"/>
        <v>0</v>
      </c>
      <c r="Y82" s="90"/>
      <c r="Z82" s="15"/>
      <c r="AA82" s="15"/>
      <c r="AB82" s="15"/>
      <c r="AC82" s="15"/>
      <c r="AD82" s="15"/>
      <c r="AE82" s="15"/>
      <c r="AF82" s="229">
        <f t="shared" si="122"/>
        <v>0</v>
      </c>
    </row>
    <row r="83" spans="1:32" ht="16" thickBot="1" x14ac:dyDescent="0.25">
      <c r="A83" s="317"/>
      <c r="B83" s="231"/>
      <c r="C83" s="232"/>
      <c r="D83" s="15"/>
      <c r="E83" s="15"/>
      <c r="F83" s="15"/>
      <c r="G83" s="15"/>
      <c r="H83" s="15"/>
      <c r="I83" s="15"/>
      <c r="J83" s="230">
        <f t="shared" si="120"/>
        <v>0</v>
      </c>
      <c r="L83" s="308"/>
      <c r="M83" s="91">
        <f t="shared" si="123"/>
        <v>0</v>
      </c>
      <c r="N83" s="90"/>
      <c r="O83" s="15"/>
      <c r="P83" s="15"/>
      <c r="Q83" s="15"/>
      <c r="R83" s="15"/>
      <c r="S83" s="15"/>
      <c r="T83" s="15"/>
      <c r="U83" s="230">
        <f t="shared" si="121"/>
        <v>0</v>
      </c>
      <c r="V83" s="16"/>
      <c r="W83" s="308"/>
      <c r="X83" s="91">
        <f t="shared" si="124"/>
        <v>0</v>
      </c>
      <c r="Y83" s="90"/>
      <c r="Z83" s="15"/>
      <c r="AA83" s="15"/>
      <c r="AB83" s="15"/>
      <c r="AC83" s="15"/>
      <c r="AD83" s="15"/>
      <c r="AE83" s="15"/>
      <c r="AF83" s="230">
        <f t="shared" si="122"/>
        <v>0</v>
      </c>
    </row>
    <row r="84" spans="1:32" ht="16" thickBot="1" x14ac:dyDescent="0.25">
      <c r="A84" s="308"/>
      <c r="B84" s="320" t="s">
        <v>30</v>
      </c>
      <c r="C84" s="321"/>
      <c r="D84" s="38"/>
      <c r="E84" s="38"/>
      <c r="F84" s="38"/>
      <c r="G84" s="38"/>
      <c r="H84" s="38"/>
      <c r="I84" s="38"/>
      <c r="J84" s="47">
        <f>SUM(J85:J87)</f>
        <v>0</v>
      </c>
      <c r="L84" s="308"/>
      <c r="M84" s="311" t="s">
        <v>30</v>
      </c>
      <c r="N84" s="312"/>
      <c r="O84" s="38"/>
      <c r="P84" s="38"/>
      <c r="Q84" s="38"/>
      <c r="R84" s="38"/>
      <c r="S84" s="38"/>
      <c r="T84" s="38"/>
      <c r="U84" s="16">
        <f>SUM(U85:U87)</f>
        <v>0</v>
      </c>
      <c r="V84" s="16"/>
      <c r="W84" s="308"/>
      <c r="X84" s="311" t="s">
        <v>30</v>
      </c>
      <c r="Y84" s="312"/>
      <c r="Z84" s="38"/>
      <c r="AA84" s="38"/>
      <c r="AB84" s="38"/>
      <c r="AC84" s="38"/>
      <c r="AD84" s="38"/>
      <c r="AE84" s="38"/>
      <c r="AF84" s="16">
        <f>SUM(AF85:AF87)</f>
        <v>0</v>
      </c>
    </row>
    <row r="85" spans="1:32" x14ac:dyDescent="0.2">
      <c r="A85" s="317"/>
      <c r="B85" s="281"/>
      <c r="C85" s="233"/>
      <c r="D85" s="15"/>
      <c r="E85" s="15"/>
      <c r="F85" s="15"/>
      <c r="G85" s="15"/>
      <c r="H85" s="15"/>
      <c r="I85" s="15"/>
      <c r="J85" s="228">
        <f t="shared" ref="J85:J86" si="125">SUM(D85:I85)</f>
        <v>0</v>
      </c>
      <c r="L85" s="308"/>
      <c r="M85" s="92">
        <f>$B85</f>
        <v>0</v>
      </c>
      <c r="N85" s="90"/>
      <c r="O85" s="15"/>
      <c r="P85" s="15"/>
      <c r="Q85" s="15"/>
      <c r="R85" s="15"/>
      <c r="S85" s="15"/>
      <c r="T85" s="15"/>
      <c r="U85" s="228">
        <f t="shared" ref="U85:U86" si="126">SUM(O85:T85)</f>
        <v>0</v>
      </c>
      <c r="V85" s="16"/>
      <c r="W85" s="308"/>
      <c r="X85" s="92">
        <f>$B85</f>
        <v>0</v>
      </c>
      <c r="Y85" s="90"/>
      <c r="Z85" s="15"/>
      <c r="AA85" s="15"/>
      <c r="AB85" s="15"/>
      <c r="AC85" s="15"/>
      <c r="AD85" s="15"/>
      <c r="AE85" s="15"/>
      <c r="AF85" s="228">
        <f t="shared" ref="AF85:AF86" si="127">SUM(Z85:AE85)</f>
        <v>0</v>
      </c>
    </row>
    <row r="86" spans="1:32" x14ac:dyDescent="0.2">
      <c r="A86" s="317"/>
      <c r="B86" s="223"/>
      <c r="C86" s="224"/>
      <c r="D86" s="15"/>
      <c r="E86" s="15"/>
      <c r="F86" s="15"/>
      <c r="G86" s="15"/>
      <c r="H86" s="15"/>
      <c r="I86" s="15"/>
      <c r="J86" s="229">
        <f t="shared" si="125"/>
        <v>0</v>
      </c>
      <c r="L86" s="308"/>
      <c r="M86" s="92">
        <f t="shared" ref="M86:M87" si="128">$B86</f>
        <v>0</v>
      </c>
      <c r="N86" s="90"/>
      <c r="O86" s="15"/>
      <c r="P86" s="15"/>
      <c r="Q86" s="15"/>
      <c r="R86" s="15"/>
      <c r="S86" s="15"/>
      <c r="T86" s="15"/>
      <c r="U86" s="229">
        <f t="shared" si="126"/>
        <v>0</v>
      </c>
      <c r="V86" s="16"/>
      <c r="W86" s="308"/>
      <c r="X86" s="92">
        <f t="shared" ref="X86:X87" si="129">$B86</f>
        <v>0</v>
      </c>
      <c r="Y86" s="90"/>
      <c r="Z86" s="15"/>
      <c r="AA86" s="15"/>
      <c r="AB86" s="15"/>
      <c r="AC86" s="15"/>
      <c r="AD86" s="15"/>
      <c r="AE86" s="15"/>
      <c r="AF86" s="229">
        <f t="shared" si="127"/>
        <v>0</v>
      </c>
    </row>
    <row r="87" spans="1:32" ht="16" thickBot="1" x14ac:dyDescent="0.25">
      <c r="A87" s="317"/>
      <c r="B87" s="225"/>
      <c r="C87" s="226"/>
      <c r="D87" s="15"/>
      <c r="E87" s="15"/>
      <c r="F87" s="15"/>
      <c r="G87" s="15"/>
      <c r="H87" s="15"/>
      <c r="I87" s="15"/>
      <c r="J87" s="230">
        <f>SUM(D87:I87)</f>
        <v>0</v>
      </c>
      <c r="L87" s="308"/>
      <c r="M87" s="92">
        <f t="shared" si="128"/>
        <v>0</v>
      </c>
      <c r="N87" s="93"/>
      <c r="O87" s="15"/>
      <c r="P87" s="15"/>
      <c r="Q87" s="15"/>
      <c r="R87" s="15"/>
      <c r="S87" s="15"/>
      <c r="T87" s="15"/>
      <c r="U87" s="230">
        <f>SUM(O87:T87)</f>
        <v>0</v>
      </c>
      <c r="V87" s="16"/>
      <c r="W87" s="308"/>
      <c r="X87" s="92">
        <f t="shared" si="129"/>
        <v>0</v>
      </c>
      <c r="Y87" s="93"/>
      <c r="Z87" s="15"/>
      <c r="AA87" s="15"/>
      <c r="AB87" s="15"/>
      <c r="AC87" s="15"/>
      <c r="AD87" s="15"/>
      <c r="AE87" s="15"/>
      <c r="AF87" s="230">
        <f>SUM(Z87:AE87)</f>
        <v>0</v>
      </c>
    </row>
    <row r="88" spans="1:32" ht="16" thickBot="1" x14ac:dyDescent="0.25">
      <c r="A88" s="308"/>
      <c r="B88" s="218" t="str">
        <f>IF(B73="Personnel - man months","Total man months","Total man hours")</f>
        <v>Total man months</v>
      </c>
      <c r="C88" s="218"/>
      <c r="D88" s="18">
        <f t="shared" ref="D88:I88" si="130">SUM(D74:D87)</f>
        <v>0</v>
      </c>
      <c r="E88" s="18">
        <f t="shared" si="130"/>
        <v>0</v>
      </c>
      <c r="F88" s="18">
        <f t="shared" si="130"/>
        <v>0</v>
      </c>
      <c r="G88" s="18">
        <f t="shared" si="130"/>
        <v>0</v>
      </c>
      <c r="H88" s="18">
        <f t="shared" si="130"/>
        <v>0</v>
      </c>
      <c r="I88" s="18">
        <f t="shared" si="130"/>
        <v>0</v>
      </c>
      <c r="J88" s="227">
        <f>SUM(D88:I88)</f>
        <v>0</v>
      </c>
      <c r="L88" s="308"/>
      <c r="M88" s="17" t="str">
        <f>IF(M73="Personnel - man months","Total man months","Total man hours")</f>
        <v>Total man months</v>
      </c>
      <c r="N88" s="17"/>
      <c r="O88" s="18">
        <f t="shared" ref="O88:T88" si="131">SUM(O74:O87)</f>
        <v>0</v>
      </c>
      <c r="P88" s="18">
        <f t="shared" si="131"/>
        <v>0</v>
      </c>
      <c r="Q88" s="18">
        <f t="shared" si="131"/>
        <v>0</v>
      </c>
      <c r="R88" s="18">
        <f t="shared" si="131"/>
        <v>0</v>
      </c>
      <c r="S88" s="18">
        <f t="shared" si="131"/>
        <v>0</v>
      </c>
      <c r="T88" s="18">
        <f t="shared" si="131"/>
        <v>0</v>
      </c>
      <c r="U88" s="241">
        <f>SUM(O88:T88)</f>
        <v>0</v>
      </c>
      <c r="V88" s="16"/>
      <c r="W88" s="308"/>
      <c r="X88" s="17" t="str">
        <f>IF(X73="Personnel - man months","Total man months","Total man hours")</f>
        <v>Total man months</v>
      </c>
      <c r="Y88" s="17"/>
      <c r="Z88" s="18">
        <f t="shared" ref="Z88:AE88" si="132">SUM(Z74:Z87)</f>
        <v>0</v>
      </c>
      <c r="AA88" s="18">
        <f t="shared" si="132"/>
        <v>0</v>
      </c>
      <c r="AB88" s="18">
        <f t="shared" si="132"/>
        <v>0</v>
      </c>
      <c r="AC88" s="18">
        <f t="shared" si="132"/>
        <v>0</v>
      </c>
      <c r="AD88" s="18">
        <f t="shared" si="132"/>
        <v>0</v>
      </c>
      <c r="AE88" s="18">
        <f t="shared" si="132"/>
        <v>0</v>
      </c>
      <c r="AF88" s="241">
        <f>SUM(Z88:AE88)</f>
        <v>0</v>
      </c>
    </row>
    <row r="89" spans="1:32" x14ac:dyDescent="0.2">
      <c r="A89" s="308"/>
      <c r="B89" s="37" t="s">
        <v>10</v>
      </c>
      <c r="C89" s="213" t="str">
        <f>IF(B73="Personnel - man months","Monthly salary (2018)","Hourly rate (2017)")</f>
        <v>Monthly salary (2018)</v>
      </c>
      <c r="D89" s="13">
        <f t="shared" ref="D89:I89" si="133">+D73</f>
        <v>2019</v>
      </c>
      <c r="E89" s="13">
        <f t="shared" si="133"/>
        <v>2020</v>
      </c>
      <c r="F89" s="13">
        <f t="shared" si="133"/>
        <v>2021</v>
      </c>
      <c r="G89" s="13">
        <f t="shared" si="133"/>
        <v>2022</v>
      </c>
      <c r="H89" s="13">
        <f t="shared" si="133"/>
        <v>2023</v>
      </c>
      <c r="I89" s="13">
        <f t="shared" si="133"/>
        <v>2024</v>
      </c>
      <c r="J89" s="46" t="s">
        <v>11</v>
      </c>
      <c r="L89" s="308"/>
      <c r="M89" s="37" t="s">
        <v>10</v>
      </c>
      <c r="N89" s="213" t="str">
        <f>IF(M73="Personnel - man months","Monthly salary (2018)","Hourly rate (2017)")</f>
        <v>Monthly salary (2018)</v>
      </c>
      <c r="O89" s="13">
        <f t="shared" ref="O89:T89" si="134">+O73</f>
        <v>2019</v>
      </c>
      <c r="P89" s="13">
        <f t="shared" si="134"/>
        <v>2020</v>
      </c>
      <c r="Q89" s="13">
        <f t="shared" si="134"/>
        <v>2021</v>
      </c>
      <c r="R89" s="13">
        <f t="shared" si="134"/>
        <v>2022</v>
      </c>
      <c r="S89" s="13">
        <f t="shared" si="134"/>
        <v>2023</v>
      </c>
      <c r="T89" s="13">
        <f t="shared" si="134"/>
        <v>2024</v>
      </c>
      <c r="U89" s="13" t="s">
        <v>11</v>
      </c>
      <c r="V89" s="14"/>
      <c r="W89" s="308"/>
      <c r="X89" s="37" t="s">
        <v>10</v>
      </c>
      <c r="Y89" s="213" t="str">
        <f>IF(X73="Personnel - man months","Monthly salary (2018)","Hourly rate (2017)")</f>
        <v>Monthly salary (2018)</v>
      </c>
      <c r="Z89" s="13">
        <f t="shared" ref="Z89:AE89" si="135">+Z73</f>
        <v>2019</v>
      </c>
      <c r="AA89" s="13">
        <f t="shared" si="135"/>
        <v>2020</v>
      </c>
      <c r="AB89" s="13">
        <f t="shared" si="135"/>
        <v>2021</v>
      </c>
      <c r="AC89" s="13">
        <f t="shared" si="135"/>
        <v>2022</v>
      </c>
      <c r="AD89" s="13">
        <f t="shared" si="135"/>
        <v>2023</v>
      </c>
      <c r="AE89" s="13">
        <f t="shared" si="135"/>
        <v>2024</v>
      </c>
      <c r="AF89" s="13" t="s">
        <v>11</v>
      </c>
    </row>
    <row r="90" spans="1:32" ht="16" thickBot="1" x14ac:dyDescent="0.25">
      <c r="A90" s="308"/>
      <c r="B90" s="311" t="s">
        <v>29</v>
      </c>
      <c r="C90" s="312"/>
      <c r="D90" s="242">
        <f>SUM(D91:D99)</f>
        <v>0</v>
      </c>
      <c r="E90" s="242">
        <f t="shared" ref="E90" si="136">SUM(E91:E99)</f>
        <v>0</v>
      </c>
      <c r="F90" s="242">
        <f t="shared" ref="F90" si="137">SUM(F91:F99)</f>
        <v>0</v>
      </c>
      <c r="G90" s="242">
        <f t="shared" ref="G90" si="138">SUM(G91:G99)</f>
        <v>0</v>
      </c>
      <c r="H90" s="242">
        <f t="shared" ref="H90" si="139">SUM(H91:H99)</f>
        <v>0</v>
      </c>
      <c r="I90" s="242">
        <f t="shared" ref="I90" si="140">SUM(I91:I99)</f>
        <v>0</v>
      </c>
      <c r="J90" s="49">
        <f>SUM(J91:J99)</f>
        <v>0</v>
      </c>
      <c r="K90" s="23"/>
      <c r="L90" s="308"/>
      <c r="M90" s="311" t="s">
        <v>29</v>
      </c>
      <c r="N90" s="312"/>
      <c r="O90" s="41">
        <f>SUM(O91:O99)</f>
        <v>0</v>
      </c>
      <c r="P90" s="41">
        <f t="shared" ref="P90" si="141">SUM(P91:P99)</f>
        <v>0</v>
      </c>
      <c r="Q90" s="41">
        <f t="shared" ref="Q90" si="142">SUM(Q91:Q99)</f>
        <v>0</v>
      </c>
      <c r="R90" s="41">
        <f t="shared" ref="R90" si="143">SUM(R91:R99)</f>
        <v>0</v>
      </c>
      <c r="S90" s="41">
        <f t="shared" ref="S90" si="144">SUM(S91:S99)</f>
        <v>0</v>
      </c>
      <c r="T90" s="41">
        <f t="shared" ref="T90" si="145">SUM(T91:T99)</f>
        <v>0</v>
      </c>
      <c r="U90" s="236">
        <f>SUM(U91:U99)</f>
        <v>0</v>
      </c>
      <c r="V90" s="22"/>
      <c r="W90" s="308"/>
      <c r="X90" s="311" t="s">
        <v>29</v>
      </c>
      <c r="Y90" s="312"/>
      <c r="Z90" s="41">
        <f>SUM(Z91:Z99)</f>
        <v>0</v>
      </c>
      <c r="AA90" s="41">
        <f t="shared" ref="AA90" si="146">SUM(AA91:AA99)</f>
        <v>0</v>
      </c>
      <c r="AB90" s="41">
        <f t="shared" ref="AB90" si="147">SUM(AB91:AB99)</f>
        <v>0</v>
      </c>
      <c r="AC90" s="41">
        <f t="shared" ref="AC90" si="148">SUM(AC91:AC99)</f>
        <v>0</v>
      </c>
      <c r="AD90" s="41">
        <f t="shared" ref="AD90" si="149">SUM(AD91:AD99)</f>
        <v>0</v>
      </c>
      <c r="AE90" s="41">
        <f t="shared" ref="AE90" si="150">SUM(AE91:AE99)</f>
        <v>0</v>
      </c>
      <c r="AF90" s="236">
        <f>SUM(AF91:AF99)</f>
        <v>0</v>
      </c>
    </row>
    <row r="91" spans="1:32" x14ac:dyDescent="0.2">
      <c r="A91" s="308"/>
      <c r="B91" s="20">
        <f>B75</f>
        <v>0</v>
      </c>
      <c r="C91" s="21"/>
      <c r="D91" s="244">
        <f>($C91*(1+$C$104))*D75</f>
        <v>0</v>
      </c>
      <c r="E91" s="245">
        <f>($C91*(1+$C$104)^2)*E75</f>
        <v>0</v>
      </c>
      <c r="F91" s="245">
        <f>($C91*(1+$C$104)^3)*F75</f>
        <v>0</v>
      </c>
      <c r="G91" s="245">
        <f>($C91*(1+$C$104)^4)*G75</f>
        <v>0</v>
      </c>
      <c r="H91" s="245">
        <f>($C91*(1+$C$104)^5)*H75</f>
        <v>0</v>
      </c>
      <c r="I91" s="246">
        <f>($C91*(1+$C$104)^6)*I75</f>
        <v>0</v>
      </c>
      <c r="J91" s="50">
        <f t="shared" ref="J91:J99" si="151">SUM(D91:I91)</f>
        <v>0</v>
      </c>
      <c r="K91" s="23"/>
      <c r="L91" s="308"/>
      <c r="M91" s="20">
        <f>M75</f>
        <v>0</v>
      </c>
      <c r="N91" s="21"/>
      <c r="O91" s="22">
        <f>($N91*(1+$N$104))*O75</f>
        <v>0</v>
      </c>
      <c r="P91" s="22">
        <f>($N91*(1+$N$104)^2)*P75</f>
        <v>0</v>
      </c>
      <c r="Q91" s="22">
        <f>($N91*(1+$N$104)^3)*Q75</f>
        <v>0</v>
      </c>
      <c r="R91" s="22">
        <f>($N91*(1+$N$104)^4)*R75</f>
        <v>0</v>
      </c>
      <c r="S91" s="22">
        <f>($N91*(1+$N$104)^5)*S75</f>
        <v>0</v>
      </c>
      <c r="T91" s="22">
        <f>($N91*(1+$N$104)^6)*T75</f>
        <v>0</v>
      </c>
      <c r="U91" s="237">
        <f t="shared" ref="U91:U99" si="152">SUM(O91:T91)</f>
        <v>0</v>
      </c>
      <c r="V91" s="22"/>
      <c r="W91" s="308"/>
      <c r="X91" s="20">
        <f>X75</f>
        <v>0</v>
      </c>
      <c r="Y91" s="21"/>
      <c r="Z91" s="22">
        <f>($Y91*(1+$Y$104))*Z75</f>
        <v>0</v>
      </c>
      <c r="AA91" s="22">
        <f>($Y91*(1+$Y$104)^2)*AA75</f>
        <v>0</v>
      </c>
      <c r="AB91" s="22">
        <f>($Y91*(1+$Y$104)^3)*AB75</f>
        <v>0</v>
      </c>
      <c r="AC91" s="22">
        <f>($Y91*(1+$Y$104)^4)*AC75</f>
        <v>0</v>
      </c>
      <c r="AD91" s="22">
        <f>($Y91*(1+$Y$104)^5)*AD75</f>
        <v>0</v>
      </c>
      <c r="AE91" s="22">
        <f>($Y91*(1+$Y$104)^6)*AE75</f>
        <v>0</v>
      </c>
      <c r="AF91" s="237">
        <f t="shared" ref="AF91:AF99" si="153">SUM(Z91:AE91)</f>
        <v>0</v>
      </c>
    </row>
    <row r="92" spans="1:32" x14ac:dyDescent="0.2">
      <c r="A92" s="308"/>
      <c r="B92" s="20">
        <f>B76</f>
        <v>0</v>
      </c>
      <c r="C92" s="21"/>
      <c r="D92" s="247">
        <f t="shared" ref="D92:D99" si="154">($C92*(1+$C$104))*D76</f>
        <v>0</v>
      </c>
      <c r="E92" s="22">
        <f t="shared" ref="E92:E99" si="155">($C92*(1+$C$104)^2)*E76</f>
        <v>0</v>
      </c>
      <c r="F92" s="22">
        <f t="shared" ref="F92:F99" si="156">($C92*(1+$C$104)^3)*F76</f>
        <v>0</v>
      </c>
      <c r="G92" s="22">
        <f t="shared" ref="G92:G99" si="157">($C92*(1+$C$104)^4)*G76</f>
        <v>0</v>
      </c>
      <c r="H92" s="22">
        <f t="shared" ref="H92:H99" si="158">($C92*(1+$C$104)^5)*H76</f>
        <v>0</v>
      </c>
      <c r="I92" s="248">
        <f t="shared" ref="I92:I99" si="159">($C92*(1+$C$104)^6)*I76</f>
        <v>0</v>
      </c>
      <c r="J92" s="50">
        <f t="shared" si="151"/>
        <v>0</v>
      </c>
      <c r="K92" s="23"/>
      <c r="L92" s="308"/>
      <c r="M92" s="20">
        <f>M76</f>
        <v>0</v>
      </c>
      <c r="N92" s="21"/>
      <c r="O92" s="22">
        <f t="shared" ref="O92:O99" si="160">($N92*(1+$N$104))*O76</f>
        <v>0</v>
      </c>
      <c r="P92" s="22">
        <f t="shared" ref="P92:P99" si="161">($N92*(1+$N$104)^2)*P76</f>
        <v>0</v>
      </c>
      <c r="Q92" s="22">
        <f t="shared" ref="Q92:Q99" si="162">($N92*(1+$N$104)^3)*Q76</f>
        <v>0</v>
      </c>
      <c r="R92" s="22">
        <f t="shared" ref="R92:R99" si="163">($N92*(1+$N$104)^4)*R76</f>
        <v>0</v>
      </c>
      <c r="S92" s="22">
        <f t="shared" ref="S92:S99" si="164">($N92*(1+$N$104)^5)*S76</f>
        <v>0</v>
      </c>
      <c r="T92" s="22">
        <f t="shared" ref="T92:T99" si="165">($N92*(1+$N$104)^6)*T76</f>
        <v>0</v>
      </c>
      <c r="U92" s="238">
        <f t="shared" si="152"/>
        <v>0</v>
      </c>
      <c r="V92" s="22"/>
      <c r="W92" s="308"/>
      <c r="X92" s="20">
        <f>X76</f>
        <v>0</v>
      </c>
      <c r="Y92" s="21"/>
      <c r="Z92" s="22">
        <f t="shared" ref="Z92:Z99" si="166">($Y92*(1+$Y$104))*Z76</f>
        <v>0</v>
      </c>
      <c r="AA92" s="22">
        <f t="shared" ref="AA92:AA99" si="167">($Y92*(1+$Y$104)^2)*AA76</f>
        <v>0</v>
      </c>
      <c r="AB92" s="22">
        <f t="shared" ref="AB92:AB99" si="168">($Y92*(1+$Y$104)^3)*AB76</f>
        <v>0</v>
      </c>
      <c r="AC92" s="22">
        <f t="shared" ref="AC92:AC99" si="169">($Y92*(1+$Y$104)^4)*AC76</f>
        <v>0</v>
      </c>
      <c r="AD92" s="22">
        <f t="shared" ref="AD92:AD99" si="170">($Y92*(1+$Y$104)^5)*AD76</f>
        <v>0</v>
      </c>
      <c r="AE92" s="22">
        <f t="shared" ref="AE92:AE99" si="171">($Y92*(1+$Y$104)^6)*AE76</f>
        <v>0</v>
      </c>
      <c r="AF92" s="238">
        <f t="shared" si="153"/>
        <v>0</v>
      </c>
    </row>
    <row r="93" spans="1:32" x14ac:dyDescent="0.2">
      <c r="A93" s="308"/>
      <c r="B93" s="20">
        <f>B77</f>
        <v>0</v>
      </c>
      <c r="C93" s="21"/>
      <c r="D93" s="247">
        <f t="shared" si="154"/>
        <v>0</v>
      </c>
      <c r="E93" s="22">
        <f t="shared" si="155"/>
        <v>0</v>
      </c>
      <c r="F93" s="22">
        <f t="shared" si="156"/>
        <v>0</v>
      </c>
      <c r="G93" s="22">
        <f t="shared" si="157"/>
        <v>0</v>
      </c>
      <c r="H93" s="22">
        <f t="shared" si="158"/>
        <v>0</v>
      </c>
      <c r="I93" s="248">
        <f t="shared" si="159"/>
        <v>0</v>
      </c>
      <c r="J93" s="50">
        <f t="shared" si="151"/>
        <v>0</v>
      </c>
      <c r="K93" s="23"/>
      <c r="L93" s="308"/>
      <c r="M93" s="20">
        <f>M77</f>
        <v>0</v>
      </c>
      <c r="N93" s="21"/>
      <c r="O93" s="22">
        <f t="shared" si="160"/>
        <v>0</v>
      </c>
      <c r="P93" s="22">
        <f t="shared" si="161"/>
        <v>0</v>
      </c>
      <c r="Q93" s="22">
        <f t="shared" si="162"/>
        <v>0</v>
      </c>
      <c r="R93" s="22">
        <f t="shared" si="163"/>
        <v>0</v>
      </c>
      <c r="S93" s="22">
        <f t="shared" si="164"/>
        <v>0</v>
      </c>
      <c r="T93" s="22">
        <f t="shared" si="165"/>
        <v>0</v>
      </c>
      <c r="U93" s="238">
        <f t="shared" si="152"/>
        <v>0</v>
      </c>
      <c r="V93" s="22"/>
      <c r="W93" s="308"/>
      <c r="X93" s="20">
        <f>X77</f>
        <v>0</v>
      </c>
      <c r="Y93" s="21"/>
      <c r="Z93" s="22">
        <f t="shared" si="166"/>
        <v>0</v>
      </c>
      <c r="AA93" s="22">
        <f t="shared" si="167"/>
        <v>0</v>
      </c>
      <c r="AB93" s="22">
        <f t="shared" si="168"/>
        <v>0</v>
      </c>
      <c r="AC93" s="22">
        <f t="shared" si="169"/>
        <v>0</v>
      </c>
      <c r="AD93" s="22">
        <f t="shared" si="170"/>
        <v>0</v>
      </c>
      <c r="AE93" s="22">
        <f t="shared" si="171"/>
        <v>0</v>
      </c>
      <c r="AF93" s="238">
        <f t="shared" si="153"/>
        <v>0</v>
      </c>
    </row>
    <row r="94" spans="1:32" x14ac:dyDescent="0.2">
      <c r="A94" s="308"/>
      <c r="B94" s="20">
        <f t="shared" ref="B94:B99" si="172">B78</f>
        <v>0</v>
      </c>
      <c r="C94" s="21"/>
      <c r="D94" s="247">
        <f t="shared" si="154"/>
        <v>0</v>
      </c>
      <c r="E94" s="22">
        <f t="shared" si="155"/>
        <v>0</v>
      </c>
      <c r="F94" s="22">
        <f t="shared" si="156"/>
        <v>0</v>
      </c>
      <c r="G94" s="22">
        <f t="shared" si="157"/>
        <v>0</v>
      </c>
      <c r="H94" s="22">
        <f t="shared" si="158"/>
        <v>0</v>
      </c>
      <c r="I94" s="248">
        <f t="shared" si="159"/>
        <v>0</v>
      </c>
      <c r="J94" s="50">
        <f t="shared" si="151"/>
        <v>0</v>
      </c>
      <c r="K94" s="23"/>
      <c r="L94" s="308"/>
      <c r="M94" s="20">
        <f t="shared" ref="M94:M99" si="173">M78</f>
        <v>0</v>
      </c>
      <c r="N94" s="21"/>
      <c r="O94" s="22">
        <f t="shared" si="160"/>
        <v>0</v>
      </c>
      <c r="P94" s="22">
        <f t="shared" si="161"/>
        <v>0</v>
      </c>
      <c r="Q94" s="22">
        <f t="shared" si="162"/>
        <v>0</v>
      </c>
      <c r="R94" s="22">
        <f t="shared" si="163"/>
        <v>0</v>
      </c>
      <c r="S94" s="22">
        <f t="shared" si="164"/>
        <v>0</v>
      </c>
      <c r="T94" s="22">
        <f t="shared" si="165"/>
        <v>0</v>
      </c>
      <c r="U94" s="238">
        <f t="shared" si="152"/>
        <v>0</v>
      </c>
      <c r="V94" s="22"/>
      <c r="W94" s="308"/>
      <c r="X94" s="20">
        <f t="shared" ref="X94:X99" si="174">X78</f>
        <v>0</v>
      </c>
      <c r="Y94" s="21"/>
      <c r="Z94" s="22">
        <f t="shared" si="166"/>
        <v>0</v>
      </c>
      <c r="AA94" s="22">
        <f t="shared" si="167"/>
        <v>0</v>
      </c>
      <c r="AB94" s="22">
        <f t="shared" si="168"/>
        <v>0</v>
      </c>
      <c r="AC94" s="22">
        <f t="shared" si="169"/>
        <v>0</v>
      </c>
      <c r="AD94" s="22">
        <f t="shared" si="170"/>
        <v>0</v>
      </c>
      <c r="AE94" s="22">
        <f t="shared" si="171"/>
        <v>0</v>
      </c>
      <c r="AF94" s="238">
        <f t="shared" si="153"/>
        <v>0</v>
      </c>
    </row>
    <row r="95" spans="1:32" x14ac:dyDescent="0.2">
      <c r="A95" s="308"/>
      <c r="B95" s="20">
        <f t="shared" si="172"/>
        <v>0</v>
      </c>
      <c r="C95" s="21"/>
      <c r="D95" s="247">
        <f t="shared" si="154"/>
        <v>0</v>
      </c>
      <c r="E95" s="22">
        <f t="shared" si="155"/>
        <v>0</v>
      </c>
      <c r="F95" s="22">
        <f t="shared" si="156"/>
        <v>0</v>
      </c>
      <c r="G95" s="22">
        <f t="shared" si="157"/>
        <v>0</v>
      </c>
      <c r="H95" s="22">
        <f t="shared" si="158"/>
        <v>0</v>
      </c>
      <c r="I95" s="248">
        <f t="shared" si="159"/>
        <v>0</v>
      </c>
      <c r="J95" s="50">
        <f t="shared" si="151"/>
        <v>0</v>
      </c>
      <c r="K95" s="23"/>
      <c r="L95" s="308"/>
      <c r="M95" s="20">
        <f t="shared" si="173"/>
        <v>0</v>
      </c>
      <c r="N95" s="21"/>
      <c r="O95" s="22">
        <f t="shared" si="160"/>
        <v>0</v>
      </c>
      <c r="P95" s="22">
        <f t="shared" si="161"/>
        <v>0</v>
      </c>
      <c r="Q95" s="22">
        <f t="shared" si="162"/>
        <v>0</v>
      </c>
      <c r="R95" s="22">
        <f t="shared" si="163"/>
        <v>0</v>
      </c>
      <c r="S95" s="22">
        <f t="shared" si="164"/>
        <v>0</v>
      </c>
      <c r="T95" s="22">
        <f t="shared" si="165"/>
        <v>0</v>
      </c>
      <c r="U95" s="238">
        <f t="shared" si="152"/>
        <v>0</v>
      </c>
      <c r="V95" s="22"/>
      <c r="W95" s="308"/>
      <c r="X95" s="20">
        <f t="shared" si="174"/>
        <v>0</v>
      </c>
      <c r="Y95" s="21"/>
      <c r="Z95" s="22">
        <f t="shared" si="166"/>
        <v>0</v>
      </c>
      <c r="AA95" s="22">
        <f t="shared" si="167"/>
        <v>0</v>
      </c>
      <c r="AB95" s="22">
        <f t="shared" si="168"/>
        <v>0</v>
      </c>
      <c r="AC95" s="22">
        <f t="shared" si="169"/>
        <v>0</v>
      </c>
      <c r="AD95" s="22">
        <f t="shared" si="170"/>
        <v>0</v>
      </c>
      <c r="AE95" s="22">
        <f t="shared" si="171"/>
        <v>0</v>
      </c>
      <c r="AF95" s="238">
        <f t="shared" si="153"/>
        <v>0</v>
      </c>
    </row>
    <row r="96" spans="1:32" x14ac:dyDescent="0.2">
      <c r="A96" s="308"/>
      <c r="B96" s="20">
        <f t="shared" si="172"/>
        <v>0</v>
      </c>
      <c r="C96" s="21"/>
      <c r="D96" s="247">
        <f t="shared" si="154"/>
        <v>0</v>
      </c>
      <c r="E96" s="22">
        <f t="shared" si="155"/>
        <v>0</v>
      </c>
      <c r="F96" s="22">
        <f t="shared" si="156"/>
        <v>0</v>
      </c>
      <c r="G96" s="22">
        <f t="shared" si="157"/>
        <v>0</v>
      </c>
      <c r="H96" s="22">
        <f t="shared" si="158"/>
        <v>0</v>
      </c>
      <c r="I96" s="248">
        <f t="shared" si="159"/>
        <v>0</v>
      </c>
      <c r="J96" s="50">
        <f t="shared" si="151"/>
        <v>0</v>
      </c>
      <c r="K96" s="23"/>
      <c r="L96" s="308"/>
      <c r="M96" s="20">
        <f t="shared" si="173"/>
        <v>0</v>
      </c>
      <c r="N96" s="21"/>
      <c r="O96" s="22">
        <f t="shared" si="160"/>
        <v>0</v>
      </c>
      <c r="P96" s="22">
        <f t="shared" si="161"/>
        <v>0</v>
      </c>
      <c r="Q96" s="22">
        <f t="shared" si="162"/>
        <v>0</v>
      </c>
      <c r="R96" s="22">
        <f t="shared" si="163"/>
        <v>0</v>
      </c>
      <c r="S96" s="22">
        <f t="shared" si="164"/>
        <v>0</v>
      </c>
      <c r="T96" s="22">
        <f t="shared" si="165"/>
        <v>0</v>
      </c>
      <c r="U96" s="238">
        <f t="shared" si="152"/>
        <v>0</v>
      </c>
      <c r="V96" s="22"/>
      <c r="W96" s="308"/>
      <c r="X96" s="20">
        <f t="shared" si="174"/>
        <v>0</v>
      </c>
      <c r="Y96" s="21"/>
      <c r="Z96" s="22">
        <f t="shared" si="166"/>
        <v>0</v>
      </c>
      <c r="AA96" s="22">
        <f t="shared" si="167"/>
        <v>0</v>
      </c>
      <c r="AB96" s="22">
        <f t="shared" si="168"/>
        <v>0</v>
      </c>
      <c r="AC96" s="22">
        <f t="shared" si="169"/>
        <v>0</v>
      </c>
      <c r="AD96" s="22">
        <f t="shared" si="170"/>
        <v>0</v>
      </c>
      <c r="AE96" s="22">
        <f t="shared" si="171"/>
        <v>0</v>
      </c>
      <c r="AF96" s="238">
        <f t="shared" si="153"/>
        <v>0</v>
      </c>
    </row>
    <row r="97" spans="1:32" x14ac:dyDescent="0.2">
      <c r="A97" s="308"/>
      <c r="B97" s="20">
        <f t="shared" si="172"/>
        <v>0</v>
      </c>
      <c r="C97" s="21"/>
      <c r="D97" s="247">
        <f t="shared" si="154"/>
        <v>0</v>
      </c>
      <c r="E97" s="22">
        <f t="shared" si="155"/>
        <v>0</v>
      </c>
      <c r="F97" s="22">
        <f t="shared" si="156"/>
        <v>0</v>
      </c>
      <c r="G97" s="22">
        <f t="shared" si="157"/>
        <v>0</v>
      </c>
      <c r="H97" s="22">
        <f t="shared" si="158"/>
        <v>0</v>
      </c>
      <c r="I97" s="248">
        <f t="shared" si="159"/>
        <v>0</v>
      </c>
      <c r="J97" s="50">
        <f t="shared" si="151"/>
        <v>0</v>
      </c>
      <c r="K97" s="23"/>
      <c r="L97" s="308"/>
      <c r="M97" s="20">
        <f t="shared" si="173"/>
        <v>0</v>
      </c>
      <c r="N97" s="21"/>
      <c r="O97" s="22">
        <f t="shared" si="160"/>
        <v>0</v>
      </c>
      <c r="P97" s="22">
        <f t="shared" si="161"/>
        <v>0</v>
      </c>
      <c r="Q97" s="22">
        <f t="shared" si="162"/>
        <v>0</v>
      </c>
      <c r="R97" s="22">
        <f t="shared" si="163"/>
        <v>0</v>
      </c>
      <c r="S97" s="22">
        <f t="shared" si="164"/>
        <v>0</v>
      </c>
      <c r="T97" s="22">
        <f t="shared" si="165"/>
        <v>0</v>
      </c>
      <c r="U97" s="238">
        <f t="shared" si="152"/>
        <v>0</v>
      </c>
      <c r="V97" s="22"/>
      <c r="W97" s="308"/>
      <c r="X97" s="20">
        <f t="shared" si="174"/>
        <v>0</v>
      </c>
      <c r="Y97" s="21"/>
      <c r="Z97" s="22">
        <f t="shared" si="166"/>
        <v>0</v>
      </c>
      <c r="AA97" s="22">
        <f t="shared" si="167"/>
        <v>0</v>
      </c>
      <c r="AB97" s="22">
        <f t="shared" si="168"/>
        <v>0</v>
      </c>
      <c r="AC97" s="22">
        <f t="shared" si="169"/>
        <v>0</v>
      </c>
      <c r="AD97" s="22">
        <f t="shared" si="170"/>
        <v>0</v>
      </c>
      <c r="AE97" s="22">
        <f t="shared" si="171"/>
        <v>0</v>
      </c>
      <c r="AF97" s="238">
        <f t="shared" si="153"/>
        <v>0</v>
      </c>
    </row>
    <row r="98" spans="1:32" x14ac:dyDescent="0.2">
      <c r="A98" s="308"/>
      <c r="B98" s="20">
        <f t="shared" si="172"/>
        <v>0</v>
      </c>
      <c r="C98" s="21"/>
      <c r="D98" s="247">
        <f t="shared" si="154"/>
        <v>0</v>
      </c>
      <c r="E98" s="22">
        <f t="shared" si="155"/>
        <v>0</v>
      </c>
      <c r="F98" s="22">
        <f t="shared" si="156"/>
        <v>0</v>
      </c>
      <c r="G98" s="22">
        <f t="shared" si="157"/>
        <v>0</v>
      </c>
      <c r="H98" s="22">
        <f t="shared" si="158"/>
        <v>0</v>
      </c>
      <c r="I98" s="248">
        <f t="shared" si="159"/>
        <v>0</v>
      </c>
      <c r="J98" s="50">
        <f t="shared" si="151"/>
        <v>0</v>
      </c>
      <c r="K98" s="23"/>
      <c r="L98" s="308"/>
      <c r="M98" s="20">
        <f t="shared" si="173"/>
        <v>0</v>
      </c>
      <c r="N98" s="21"/>
      <c r="O98" s="22">
        <f t="shared" si="160"/>
        <v>0</v>
      </c>
      <c r="P98" s="22">
        <f t="shared" si="161"/>
        <v>0</v>
      </c>
      <c r="Q98" s="22">
        <f t="shared" si="162"/>
        <v>0</v>
      </c>
      <c r="R98" s="22">
        <f t="shared" si="163"/>
        <v>0</v>
      </c>
      <c r="S98" s="22">
        <f t="shared" si="164"/>
        <v>0</v>
      </c>
      <c r="T98" s="22">
        <f t="shared" si="165"/>
        <v>0</v>
      </c>
      <c r="U98" s="238">
        <f t="shared" si="152"/>
        <v>0</v>
      </c>
      <c r="V98" s="22"/>
      <c r="W98" s="308"/>
      <c r="X98" s="20">
        <f t="shared" si="174"/>
        <v>0</v>
      </c>
      <c r="Y98" s="21"/>
      <c r="Z98" s="22">
        <f t="shared" si="166"/>
        <v>0</v>
      </c>
      <c r="AA98" s="22">
        <f t="shared" si="167"/>
        <v>0</v>
      </c>
      <c r="AB98" s="22">
        <f t="shared" si="168"/>
        <v>0</v>
      </c>
      <c r="AC98" s="22">
        <f t="shared" si="169"/>
        <v>0</v>
      </c>
      <c r="AD98" s="22">
        <f t="shared" si="170"/>
        <v>0</v>
      </c>
      <c r="AE98" s="22">
        <f t="shared" si="171"/>
        <v>0</v>
      </c>
      <c r="AF98" s="238">
        <f t="shared" si="153"/>
        <v>0</v>
      </c>
    </row>
    <row r="99" spans="1:32" ht="16" thickBot="1" x14ac:dyDescent="0.25">
      <c r="A99" s="308"/>
      <c r="B99" s="20">
        <f t="shared" si="172"/>
        <v>0</v>
      </c>
      <c r="C99" s="21"/>
      <c r="D99" s="249">
        <f t="shared" si="154"/>
        <v>0</v>
      </c>
      <c r="E99" s="250">
        <f t="shared" si="155"/>
        <v>0</v>
      </c>
      <c r="F99" s="250">
        <f t="shared" si="156"/>
        <v>0</v>
      </c>
      <c r="G99" s="250">
        <f t="shared" si="157"/>
        <v>0</v>
      </c>
      <c r="H99" s="250">
        <f t="shared" si="158"/>
        <v>0</v>
      </c>
      <c r="I99" s="251">
        <f t="shared" si="159"/>
        <v>0</v>
      </c>
      <c r="J99" s="50">
        <f t="shared" si="151"/>
        <v>0</v>
      </c>
      <c r="K99" s="23"/>
      <c r="L99" s="308"/>
      <c r="M99" s="20">
        <f t="shared" si="173"/>
        <v>0</v>
      </c>
      <c r="N99" s="21"/>
      <c r="O99" s="22">
        <f t="shared" si="160"/>
        <v>0</v>
      </c>
      <c r="P99" s="22">
        <f t="shared" si="161"/>
        <v>0</v>
      </c>
      <c r="Q99" s="22">
        <f t="shared" si="162"/>
        <v>0</v>
      </c>
      <c r="R99" s="22">
        <f t="shared" si="163"/>
        <v>0</v>
      </c>
      <c r="S99" s="22">
        <f t="shared" si="164"/>
        <v>0</v>
      </c>
      <c r="T99" s="22">
        <f t="shared" si="165"/>
        <v>0</v>
      </c>
      <c r="U99" s="239">
        <f t="shared" si="152"/>
        <v>0</v>
      </c>
      <c r="V99" s="22"/>
      <c r="W99" s="308"/>
      <c r="X99" s="20">
        <f t="shared" si="174"/>
        <v>0</v>
      </c>
      <c r="Y99" s="21"/>
      <c r="Z99" s="22">
        <f t="shared" si="166"/>
        <v>0</v>
      </c>
      <c r="AA99" s="22">
        <f t="shared" si="167"/>
        <v>0</v>
      </c>
      <c r="AB99" s="22">
        <f t="shared" si="168"/>
        <v>0</v>
      </c>
      <c r="AC99" s="22">
        <f t="shared" si="169"/>
        <v>0</v>
      </c>
      <c r="AD99" s="22">
        <f t="shared" si="170"/>
        <v>0</v>
      </c>
      <c r="AE99" s="22">
        <f t="shared" si="171"/>
        <v>0</v>
      </c>
      <c r="AF99" s="239">
        <f t="shared" si="153"/>
        <v>0</v>
      </c>
    </row>
    <row r="100" spans="1:32" ht="16" thickBot="1" x14ac:dyDescent="0.25">
      <c r="A100" s="308"/>
      <c r="B100" s="311" t="s">
        <v>30</v>
      </c>
      <c r="C100" s="312"/>
      <c r="D100" s="243">
        <f t="shared" ref="D100" si="175">SUM(D101:D103)</f>
        <v>0</v>
      </c>
      <c r="E100" s="243">
        <f t="shared" ref="E100" si="176">SUM(E101:E103)</f>
        <v>0</v>
      </c>
      <c r="F100" s="243">
        <f t="shared" ref="F100" si="177">SUM(F101:F103)</f>
        <v>0</v>
      </c>
      <c r="G100" s="243">
        <f t="shared" ref="G100" si="178">SUM(G101:G103)</f>
        <v>0</v>
      </c>
      <c r="H100" s="243">
        <f t="shared" ref="H100" si="179">SUM(H101:H103)</f>
        <v>0</v>
      </c>
      <c r="I100" s="243">
        <f t="shared" ref="I100" si="180">SUM(I101:I103)</f>
        <v>0</v>
      </c>
      <c r="J100" s="51">
        <f>SUM(J101:J103)</f>
        <v>0</v>
      </c>
      <c r="K100" s="23"/>
      <c r="L100" s="308"/>
      <c r="M100" s="311" t="s">
        <v>30</v>
      </c>
      <c r="N100" s="312"/>
      <c r="O100" s="41">
        <f t="shared" ref="O100" si="181">SUM(O101:O103)</f>
        <v>0</v>
      </c>
      <c r="P100" s="41">
        <f t="shared" ref="P100" si="182">SUM(P101:P103)</f>
        <v>0</v>
      </c>
      <c r="Q100" s="41">
        <f t="shared" ref="Q100" si="183">SUM(Q101:Q103)</f>
        <v>0</v>
      </c>
      <c r="R100" s="41">
        <f t="shared" ref="R100" si="184">SUM(R101:R103)</f>
        <v>0</v>
      </c>
      <c r="S100" s="41">
        <f t="shared" ref="S100" si="185">SUM(S101:S103)</f>
        <v>0</v>
      </c>
      <c r="T100" s="41">
        <f t="shared" ref="T100" si="186">SUM(T101:T103)</f>
        <v>0</v>
      </c>
      <c r="U100" s="240">
        <f>SUM(U101:U103)</f>
        <v>0</v>
      </c>
      <c r="V100" s="22"/>
      <c r="W100" s="308"/>
      <c r="X100" s="311" t="s">
        <v>30</v>
      </c>
      <c r="Y100" s="312"/>
      <c r="Z100" s="41">
        <f t="shared" ref="Z100" si="187">SUM(Z101:Z103)</f>
        <v>0</v>
      </c>
      <c r="AA100" s="41">
        <f t="shared" ref="AA100" si="188">SUM(AA101:AA103)</f>
        <v>0</v>
      </c>
      <c r="AB100" s="41">
        <f t="shared" ref="AB100" si="189">SUM(AB101:AB103)</f>
        <v>0</v>
      </c>
      <c r="AC100" s="41">
        <f t="shared" ref="AC100" si="190">SUM(AC101:AC103)</f>
        <v>0</v>
      </c>
      <c r="AD100" s="41">
        <f t="shared" ref="AD100" si="191">SUM(AD101:AD103)</f>
        <v>0</v>
      </c>
      <c r="AE100" s="41">
        <f t="shared" ref="AE100" si="192">SUM(AE101:AE103)</f>
        <v>0</v>
      </c>
      <c r="AF100" s="240">
        <f>SUM(AF101:AF103)</f>
        <v>0</v>
      </c>
    </row>
    <row r="101" spans="1:32" x14ac:dyDescent="0.2">
      <c r="A101" s="308"/>
      <c r="B101" s="20">
        <f>B85</f>
        <v>0</v>
      </c>
      <c r="C101" s="21"/>
      <c r="D101" s="22">
        <f>($C101*(1+$C$104))*D85</f>
        <v>0</v>
      </c>
      <c r="E101" s="22">
        <f>($C101*(1+$C$104)^2)*E85</f>
        <v>0</v>
      </c>
      <c r="F101" s="22">
        <f>($C101*(1+$C$104)^3)*F85</f>
        <v>0</v>
      </c>
      <c r="G101" s="22">
        <f>($C101*(1+$C$104)^4)*G85</f>
        <v>0</v>
      </c>
      <c r="H101" s="22">
        <f>($C101*(1+$C$104)^5)*H85</f>
        <v>0</v>
      </c>
      <c r="I101" s="22">
        <f>($C101*(1+$C$104)^6)*I85</f>
        <v>0</v>
      </c>
      <c r="J101" s="50">
        <f t="shared" ref="J101:J103" si="193">SUM(D101:I101)</f>
        <v>0</v>
      </c>
      <c r="K101" s="23"/>
      <c r="L101" s="308"/>
      <c r="M101" s="20">
        <f>M85</f>
        <v>0</v>
      </c>
      <c r="N101" s="21"/>
      <c r="O101" s="22">
        <f>($N101*(1+$N$104))*O85</f>
        <v>0</v>
      </c>
      <c r="P101" s="22">
        <f>($N101*(1+$N$104)^2)*P85</f>
        <v>0</v>
      </c>
      <c r="Q101" s="22">
        <f>($N101*(1+$N$104)^3)*Q85</f>
        <v>0</v>
      </c>
      <c r="R101" s="22">
        <f>($N101*(1+$N$104)^4)*R85</f>
        <v>0</v>
      </c>
      <c r="S101" s="22">
        <f>($N101*(1+$N$104)^5)*S85</f>
        <v>0</v>
      </c>
      <c r="T101" s="22">
        <f>($N101*(1+$N$104)^6)*T85</f>
        <v>0</v>
      </c>
      <c r="U101" s="237">
        <f t="shared" ref="U101:U103" si="194">SUM(O101:T101)</f>
        <v>0</v>
      </c>
      <c r="V101" s="22"/>
      <c r="W101" s="308"/>
      <c r="X101" s="20">
        <f>X85</f>
        <v>0</v>
      </c>
      <c r="Y101" s="21"/>
      <c r="Z101" s="22">
        <f>($Y101*(1+$Y$104))*Z85</f>
        <v>0</v>
      </c>
      <c r="AA101" s="22">
        <f>($Y101*(1+$Y$104)^2)*AA85</f>
        <v>0</v>
      </c>
      <c r="AB101" s="22">
        <f>($Y101*(1+$Y$104)^3)*AB85</f>
        <v>0</v>
      </c>
      <c r="AC101" s="22">
        <f>($Y101*(1+$Y$104)^4)*AC85</f>
        <v>0</v>
      </c>
      <c r="AD101" s="22">
        <f>($Y101*(1+$Y$104)^5)*AD85</f>
        <v>0</v>
      </c>
      <c r="AE101" s="22">
        <f>($Y101*(1+$Y$104)^6)*AE85</f>
        <v>0</v>
      </c>
      <c r="AF101" s="237">
        <f t="shared" ref="AF101:AF103" si="195">SUM(Z101:AE101)</f>
        <v>0</v>
      </c>
    </row>
    <row r="102" spans="1:32" x14ac:dyDescent="0.2">
      <c r="A102" s="308"/>
      <c r="B102" s="20">
        <f t="shared" ref="B102:B103" si="196">B86</f>
        <v>0</v>
      </c>
      <c r="C102" s="21"/>
      <c r="D102" s="22">
        <f t="shared" ref="D102:D103" si="197">($C102*(1+$C$104))*D86</f>
        <v>0</v>
      </c>
      <c r="E102" s="22">
        <f t="shared" ref="E102:E103" si="198">($C102*(1+$C$104)^2)*E86</f>
        <v>0</v>
      </c>
      <c r="F102" s="22">
        <f t="shared" ref="F102:F103" si="199">($C102*(1+$C$104)^3)*F86</f>
        <v>0</v>
      </c>
      <c r="G102" s="22">
        <f t="shared" ref="G102:G103" si="200">($C102*(1+$C$104)^4)*G86</f>
        <v>0</v>
      </c>
      <c r="H102" s="22">
        <f t="shared" ref="H102:H103" si="201">($C102*(1+$C$104)^5)*H86</f>
        <v>0</v>
      </c>
      <c r="I102" s="22">
        <f t="shared" ref="I102:I103" si="202">($C102*(1+$C$104)^6)*I86</f>
        <v>0</v>
      </c>
      <c r="J102" s="50">
        <f t="shared" si="193"/>
        <v>0</v>
      </c>
      <c r="K102" s="23"/>
      <c r="L102" s="308"/>
      <c r="M102" s="20">
        <f t="shared" ref="M102:M103" si="203">M86</f>
        <v>0</v>
      </c>
      <c r="N102" s="21"/>
      <c r="O102" s="22">
        <f t="shared" ref="O102:O103" si="204">($N102*(1+$N$104))*O86</f>
        <v>0</v>
      </c>
      <c r="P102" s="22">
        <f t="shared" ref="P102:P103" si="205">($N102*(1+$N$104)^2)*P86</f>
        <v>0</v>
      </c>
      <c r="Q102" s="22">
        <f t="shared" ref="Q102:Q103" si="206">($N102*(1+$N$104)^3)*Q86</f>
        <v>0</v>
      </c>
      <c r="R102" s="22">
        <f t="shared" ref="R102:R103" si="207">($N102*(1+$N$104)^4)*R86</f>
        <v>0</v>
      </c>
      <c r="S102" s="22">
        <f t="shared" ref="S102:S103" si="208">($N102*(1+$N$104)^5)*S86</f>
        <v>0</v>
      </c>
      <c r="T102" s="22">
        <f t="shared" ref="T102:T103" si="209">($N102*(1+$N$104)^6)*T86</f>
        <v>0</v>
      </c>
      <c r="U102" s="238">
        <f t="shared" si="194"/>
        <v>0</v>
      </c>
      <c r="V102" s="22"/>
      <c r="W102" s="308"/>
      <c r="X102" s="20">
        <f t="shared" ref="X102:X103" si="210">X86</f>
        <v>0</v>
      </c>
      <c r="Y102" s="21"/>
      <c r="Z102" s="22">
        <f t="shared" ref="Z102:Z103" si="211">($Y102*(1+$Y$104))*Z86</f>
        <v>0</v>
      </c>
      <c r="AA102" s="22">
        <f t="shared" ref="AA102:AA103" si="212">($Y102*(1+$Y$104)^2)*AA86</f>
        <v>0</v>
      </c>
      <c r="AB102" s="22">
        <f t="shared" ref="AB102:AB103" si="213">($Y102*(1+$Y$104)^3)*AB86</f>
        <v>0</v>
      </c>
      <c r="AC102" s="22">
        <f t="shared" ref="AC102:AC103" si="214">($Y102*(1+$Y$104)^4)*AC86</f>
        <v>0</v>
      </c>
      <c r="AD102" s="22">
        <f t="shared" ref="AD102:AD103" si="215">($Y102*(1+$Y$104)^5)*AD86</f>
        <v>0</v>
      </c>
      <c r="AE102" s="22">
        <f t="shared" ref="AE102:AE103" si="216">($Y102*(1+$Y$104)^6)*AE86</f>
        <v>0</v>
      </c>
      <c r="AF102" s="238">
        <f t="shared" si="195"/>
        <v>0</v>
      </c>
    </row>
    <row r="103" spans="1:32" ht="16" thickBot="1" x14ac:dyDescent="0.25">
      <c r="A103" s="308"/>
      <c r="B103" s="20">
        <f t="shared" si="196"/>
        <v>0</v>
      </c>
      <c r="C103" s="21"/>
      <c r="D103" s="22">
        <f t="shared" si="197"/>
        <v>0</v>
      </c>
      <c r="E103" s="22">
        <f t="shared" si="198"/>
        <v>0</v>
      </c>
      <c r="F103" s="22">
        <f t="shared" si="199"/>
        <v>0</v>
      </c>
      <c r="G103" s="22">
        <f t="shared" si="200"/>
        <v>0</v>
      </c>
      <c r="H103" s="22">
        <f t="shared" si="201"/>
        <v>0</v>
      </c>
      <c r="I103" s="22">
        <f t="shared" si="202"/>
        <v>0</v>
      </c>
      <c r="J103" s="52">
        <f t="shared" si="193"/>
        <v>0</v>
      </c>
      <c r="K103" s="23"/>
      <c r="L103" s="308"/>
      <c r="M103" s="20">
        <f t="shared" si="203"/>
        <v>0</v>
      </c>
      <c r="N103" s="21"/>
      <c r="O103" s="22">
        <f t="shared" si="204"/>
        <v>0</v>
      </c>
      <c r="P103" s="22">
        <f t="shared" si="205"/>
        <v>0</v>
      </c>
      <c r="Q103" s="22">
        <f t="shared" si="206"/>
        <v>0</v>
      </c>
      <c r="R103" s="22">
        <f t="shared" si="207"/>
        <v>0</v>
      </c>
      <c r="S103" s="22">
        <f t="shared" si="208"/>
        <v>0</v>
      </c>
      <c r="T103" s="22">
        <f t="shared" si="209"/>
        <v>0</v>
      </c>
      <c r="U103" s="239">
        <f t="shared" si="194"/>
        <v>0</v>
      </c>
      <c r="V103" s="22"/>
      <c r="W103" s="308"/>
      <c r="X103" s="20">
        <f t="shared" si="210"/>
        <v>0</v>
      </c>
      <c r="Y103" s="21"/>
      <c r="Z103" s="22">
        <f t="shared" si="211"/>
        <v>0</v>
      </c>
      <c r="AA103" s="22">
        <f t="shared" si="212"/>
        <v>0</v>
      </c>
      <c r="AB103" s="22">
        <f t="shared" si="213"/>
        <v>0</v>
      </c>
      <c r="AC103" s="22">
        <f t="shared" si="214"/>
        <v>0</v>
      </c>
      <c r="AD103" s="22">
        <f t="shared" si="215"/>
        <v>0</v>
      </c>
      <c r="AE103" s="22">
        <f t="shared" si="216"/>
        <v>0</v>
      </c>
      <c r="AF103" s="239">
        <f t="shared" si="195"/>
        <v>0</v>
      </c>
    </row>
    <row r="104" spans="1:32" x14ac:dyDescent="0.2">
      <c r="A104" s="308"/>
      <c r="B104" s="24" t="s">
        <v>12</v>
      </c>
      <c r="C104" s="25">
        <v>0.02</v>
      </c>
      <c r="D104" s="26"/>
      <c r="E104" s="26"/>
      <c r="F104" s="26"/>
      <c r="G104" s="26"/>
      <c r="H104" s="26"/>
      <c r="I104" s="26"/>
      <c r="J104" s="53"/>
      <c r="K104" s="23"/>
      <c r="L104" s="308"/>
      <c r="M104" s="24" t="s">
        <v>12</v>
      </c>
      <c r="N104" s="25">
        <v>0.02</v>
      </c>
      <c r="O104" s="26"/>
      <c r="P104" s="26"/>
      <c r="Q104" s="26"/>
      <c r="R104" s="26"/>
      <c r="S104" s="26"/>
      <c r="T104" s="26"/>
      <c r="U104" s="27"/>
      <c r="V104" s="22"/>
      <c r="W104" s="308"/>
      <c r="X104" s="24" t="s">
        <v>12</v>
      </c>
      <c r="Y104" s="25">
        <v>0.02</v>
      </c>
      <c r="Z104" s="26"/>
      <c r="AA104" s="26"/>
      <c r="AB104" s="26"/>
      <c r="AC104" s="26"/>
      <c r="AD104" s="26"/>
      <c r="AE104" s="26"/>
      <c r="AF104" s="27"/>
    </row>
    <row r="105" spans="1:32" ht="16" thickBot="1" x14ac:dyDescent="0.25">
      <c r="A105" s="308"/>
      <c r="B105" s="17" t="s">
        <v>13</v>
      </c>
      <c r="C105" s="17"/>
      <c r="D105" s="28">
        <f>ROUND((D90+D100),0)</f>
        <v>0</v>
      </c>
      <c r="E105" s="28">
        <f t="shared" ref="E105:I105" si="217">ROUND((E90+E100),0)</f>
        <v>0</v>
      </c>
      <c r="F105" s="28">
        <f t="shared" si="217"/>
        <v>0</v>
      </c>
      <c r="G105" s="28">
        <f t="shared" si="217"/>
        <v>0</v>
      </c>
      <c r="H105" s="28">
        <f t="shared" si="217"/>
        <v>0</v>
      </c>
      <c r="I105" s="28">
        <f t="shared" si="217"/>
        <v>0</v>
      </c>
      <c r="J105" s="54">
        <f>SUM(D105:I105)</f>
        <v>0</v>
      </c>
      <c r="K105" s="23"/>
      <c r="L105" s="308"/>
      <c r="M105" s="17" t="s">
        <v>13</v>
      </c>
      <c r="N105" s="17"/>
      <c r="O105" s="28">
        <f>ROUND((O90+O100),0)</f>
        <v>0</v>
      </c>
      <c r="P105" s="28">
        <f t="shared" ref="P105:T105" si="218">ROUND((P90+P100),0)</f>
        <v>0</v>
      </c>
      <c r="Q105" s="28">
        <f t="shared" si="218"/>
        <v>0</v>
      </c>
      <c r="R105" s="28">
        <f t="shared" si="218"/>
        <v>0</v>
      </c>
      <c r="S105" s="28">
        <f t="shared" si="218"/>
        <v>0</v>
      </c>
      <c r="T105" s="28">
        <f t="shared" si="218"/>
        <v>0</v>
      </c>
      <c r="U105" s="28">
        <f>SUM(O105:T105)</f>
        <v>0</v>
      </c>
      <c r="V105" s="22"/>
      <c r="W105" s="308"/>
      <c r="X105" s="17" t="s">
        <v>13</v>
      </c>
      <c r="Y105" s="17"/>
      <c r="Z105" s="28">
        <f>ROUND((Z90+Z100),0)</f>
        <v>0</v>
      </c>
      <c r="AA105" s="28">
        <f t="shared" ref="AA105:AE105" si="219">ROUND((AA90+AA100),0)</f>
        <v>0</v>
      </c>
      <c r="AB105" s="28">
        <f t="shared" si="219"/>
        <v>0</v>
      </c>
      <c r="AC105" s="28">
        <f t="shared" si="219"/>
        <v>0</v>
      </c>
      <c r="AD105" s="28">
        <f t="shared" si="219"/>
        <v>0</v>
      </c>
      <c r="AE105" s="28">
        <f t="shared" si="219"/>
        <v>0</v>
      </c>
      <c r="AF105" s="28">
        <f>SUM(Z105:AE105)</f>
        <v>0</v>
      </c>
    </row>
    <row r="106" spans="1:32" ht="16" thickBot="1" x14ac:dyDescent="0.25">
      <c r="A106" s="307" t="s">
        <v>14</v>
      </c>
      <c r="B106" s="37" t="s">
        <v>15</v>
      </c>
      <c r="C106" s="37"/>
      <c r="D106" s="256">
        <f t="shared" ref="D106:I106" si="220">+D89</f>
        <v>2019</v>
      </c>
      <c r="E106" s="256">
        <f t="shared" si="220"/>
        <v>2020</v>
      </c>
      <c r="F106" s="256">
        <f t="shared" si="220"/>
        <v>2021</v>
      </c>
      <c r="G106" s="256">
        <f t="shared" si="220"/>
        <v>2022</v>
      </c>
      <c r="H106" s="256">
        <f t="shared" si="220"/>
        <v>2023</v>
      </c>
      <c r="I106" s="256">
        <f t="shared" si="220"/>
        <v>2024</v>
      </c>
      <c r="J106" s="46" t="s">
        <v>11</v>
      </c>
      <c r="L106" s="307" t="s">
        <v>14</v>
      </c>
      <c r="M106" s="37" t="s">
        <v>15</v>
      </c>
      <c r="N106" s="37"/>
      <c r="O106" s="13">
        <f t="shared" ref="O106:T106" si="221">+O89</f>
        <v>2019</v>
      </c>
      <c r="P106" s="13">
        <f t="shared" si="221"/>
        <v>2020</v>
      </c>
      <c r="Q106" s="13">
        <f t="shared" si="221"/>
        <v>2021</v>
      </c>
      <c r="R106" s="13">
        <f t="shared" si="221"/>
        <v>2022</v>
      </c>
      <c r="S106" s="13">
        <f t="shared" si="221"/>
        <v>2023</v>
      </c>
      <c r="T106" s="13">
        <f t="shared" si="221"/>
        <v>2024</v>
      </c>
      <c r="U106" s="256" t="s">
        <v>11</v>
      </c>
      <c r="V106" s="14"/>
      <c r="W106" s="307" t="s">
        <v>14</v>
      </c>
      <c r="X106" s="37" t="s">
        <v>15</v>
      </c>
      <c r="Y106" s="37"/>
      <c r="Z106" s="13">
        <f t="shared" ref="Z106:AE106" si="222">+Z89</f>
        <v>2019</v>
      </c>
      <c r="AA106" s="13">
        <f t="shared" si="222"/>
        <v>2020</v>
      </c>
      <c r="AB106" s="13">
        <f t="shared" si="222"/>
        <v>2021</v>
      </c>
      <c r="AC106" s="13">
        <f t="shared" si="222"/>
        <v>2022</v>
      </c>
      <c r="AD106" s="13">
        <f t="shared" si="222"/>
        <v>2023</v>
      </c>
      <c r="AE106" s="13">
        <f t="shared" si="222"/>
        <v>2024</v>
      </c>
      <c r="AF106" s="256" t="s">
        <v>11</v>
      </c>
    </row>
    <row r="107" spans="1:32" x14ac:dyDescent="0.2">
      <c r="A107" s="308"/>
      <c r="B107" s="79"/>
      <c r="C107" s="254"/>
      <c r="D107" s="258"/>
      <c r="E107" s="259"/>
      <c r="F107" s="259"/>
      <c r="G107" s="259"/>
      <c r="H107" s="259"/>
      <c r="I107" s="260"/>
      <c r="J107" s="50">
        <f>SUM(D107:I107)</f>
        <v>0</v>
      </c>
      <c r="L107" s="308"/>
      <c r="M107" s="79"/>
      <c r="N107" s="80"/>
      <c r="O107" s="29"/>
      <c r="P107" s="29"/>
      <c r="Q107" s="29"/>
      <c r="R107" s="29"/>
      <c r="S107" s="29"/>
      <c r="T107" s="29"/>
      <c r="U107" s="237">
        <f>SUM(O107:T107)</f>
        <v>0</v>
      </c>
      <c r="V107" s="22"/>
      <c r="W107" s="308"/>
      <c r="X107" s="79"/>
      <c r="Y107" s="80"/>
      <c r="Z107" s="29"/>
      <c r="AA107" s="29"/>
      <c r="AB107" s="29"/>
      <c r="AC107" s="29"/>
      <c r="AD107" s="29"/>
      <c r="AE107" s="29"/>
      <c r="AF107" s="237">
        <f>SUM(Z107:AE107)</f>
        <v>0</v>
      </c>
    </row>
    <row r="108" spans="1:32" x14ac:dyDescent="0.2">
      <c r="A108" s="308"/>
      <c r="B108" s="77"/>
      <c r="C108" s="15"/>
      <c r="D108" s="261"/>
      <c r="E108" s="29"/>
      <c r="F108" s="29"/>
      <c r="G108" s="29"/>
      <c r="H108" s="29"/>
      <c r="I108" s="262"/>
      <c r="J108" s="50">
        <f>SUM(D108:I108)</f>
        <v>0</v>
      </c>
      <c r="L108" s="308"/>
      <c r="M108" s="77"/>
      <c r="N108" s="78"/>
      <c r="O108" s="29"/>
      <c r="P108" s="29"/>
      <c r="Q108" s="29"/>
      <c r="R108" s="29"/>
      <c r="S108" s="29"/>
      <c r="T108" s="29"/>
      <c r="U108" s="238">
        <f>SUM(O108:T108)</f>
        <v>0</v>
      </c>
      <c r="V108" s="22"/>
      <c r="W108" s="308"/>
      <c r="X108" s="77"/>
      <c r="Y108" s="78"/>
      <c r="Z108" s="29"/>
      <c r="AA108" s="29"/>
      <c r="AB108" s="29"/>
      <c r="AC108" s="29"/>
      <c r="AD108" s="29"/>
      <c r="AE108" s="29"/>
      <c r="AF108" s="238">
        <f>SUM(Z108:AE108)</f>
        <v>0</v>
      </c>
    </row>
    <row r="109" spans="1:32" ht="16" thickBot="1" x14ac:dyDescent="0.25">
      <c r="A109" s="308"/>
      <c r="B109" s="81"/>
      <c r="C109" s="255"/>
      <c r="D109" s="263"/>
      <c r="E109" s="264"/>
      <c r="F109" s="264"/>
      <c r="G109" s="264"/>
      <c r="H109" s="264"/>
      <c r="I109" s="265"/>
      <c r="J109" s="50">
        <f>SUM(D109:I109)</f>
        <v>0</v>
      </c>
      <c r="L109" s="308"/>
      <c r="M109" s="81"/>
      <c r="N109" s="82"/>
      <c r="O109" s="29"/>
      <c r="P109" s="29"/>
      <c r="Q109" s="29"/>
      <c r="R109" s="29"/>
      <c r="S109" s="29"/>
      <c r="T109" s="29"/>
      <c r="U109" s="239">
        <f>SUM(O109:T109)</f>
        <v>0</v>
      </c>
      <c r="V109" s="22"/>
      <c r="W109" s="308"/>
      <c r="X109" s="81"/>
      <c r="Y109" s="82"/>
      <c r="Z109" s="29"/>
      <c r="AA109" s="29"/>
      <c r="AB109" s="29"/>
      <c r="AC109" s="29"/>
      <c r="AD109" s="29"/>
      <c r="AE109" s="29"/>
      <c r="AF109" s="239">
        <f>SUM(Z109:AE109)</f>
        <v>0</v>
      </c>
    </row>
    <row r="110" spans="1:32" ht="16" thickBot="1" x14ac:dyDescent="0.25">
      <c r="A110" s="308"/>
      <c r="B110" s="17" t="s">
        <v>16</v>
      </c>
      <c r="C110" s="17"/>
      <c r="D110" s="257">
        <f t="shared" ref="D110:I110" si="223">ROUND(SUM(D107:D109),0)</f>
        <v>0</v>
      </c>
      <c r="E110" s="257">
        <f t="shared" si="223"/>
        <v>0</v>
      </c>
      <c r="F110" s="257">
        <f t="shared" si="223"/>
        <v>0</v>
      </c>
      <c r="G110" s="257">
        <f t="shared" si="223"/>
        <v>0</v>
      </c>
      <c r="H110" s="257">
        <f t="shared" si="223"/>
        <v>0</v>
      </c>
      <c r="I110" s="257">
        <f t="shared" si="223"/>
        <v>0</v>
      </c>
      <c r="J110" s="54">
        <f>SUM(D110:I110)</f>
        <v>0</v>
      </c>
      <c r="L110" s="308"/>
      <c r="M110" s="17" t="s">
        <v>16</v>
      </c>
      <c r="N110" s="17"/>
      <c r="O110" s="28">
        <f t="shared" ref="O110:T110" si="224">ROUND(SUM(O107:O109),0)</f>
        <v>0</v>
      </c>
      <c r="P110" s="28">
        <f t="shared" si="224"/>
        <v>0</v>
      </c>
      <c r="Q110" s="28">
        <f t="shared" si="224"/>
        <v>0</v>
      </c>
      <c r="R110" s="28">
        <f t="shared" si="224"/>
        <v>0</v>
      </c>
      <c r="S110" s="28">
        <f t="shared" si="224"/>
        <v>0</v>
      </c>
      <c r="T110" s="28">
        <f t="shared" si="224"/>
        <v>0</v>
      </c>
      <c r="U110" s="257">
        <f>SUM(O110:T110)</f>
        <v>0</v>
      </c>
      <c r="V110" s="22"/>
      <c r="W110" s="308"/>
      <c r="X110" s="17" t="s">
        <v>16</v>
      </c>
      <c r="Y110" s="17"/>
      <c r="Z110" s="28">
        <f t="shared" ref="Z110:AE110" si="225">ROUND(SUM(Z107:Z109),0)</f>
        <v>0</v>
      </c>
      <c r="AA110" s="28">
        <f t="shared" si="225"/>
        <v>0</v>
      </c>
      <c r="AB110" s="28">
        <f t="shared" si="225"/>
        <v>0</v>
      </c>
      <c r="AC110" s="28">
        <f t="shared" si="225"/>
        <v>0</v>
      </c>
      <c r="AD110" s="28">
        <f t="shared" si="225"/>
        <v>0</v>
      </c>
      <c r="AE110" s="28">
        <f t="shared" si="225"/>
        <v>0</v>
      </c>
      <c r="AF110" s="257">
        <f>SUM(Z110:AE110)</f>
        <v>0</v>
      </c>
    </row>
    <row r="111" spans="1:32" ht="16" thickBot="1" x14ac:dyDescent="0.25">
      <c r="A111" s="307" t="s">
        <v>17</v>
      </c>
      <c r="B111" s="37" t="s">
        <v>31</v>
      </c>
      <c r="C111" s="37"/>
      <c r="D111" s="256">
        <f t="shared" ref="D111:I111" si="226">D73</f>
        <v>2019</v>
      </c>
      <c r="E111" s="256">
        <f t="shared" si="226"/>
        <v>2020</v>
      </c>
      <c r="F111" s="256">
        <f t="shared" si="226"/>
        <v>2021</v>
      </c>
      <c r="G111" s="256">
        <f t="shared" si="226"/>
        <v>2022</v>
      </c>
      <c r="H111" s="256">
        <f t="shared" si="226"/>
        <v>2023</v>
      </c>
      <c r="I111" s="256">
        <f t="shared" si="226"/>
        <v>2024</v>
      </c>
      <c r="J111" s="46" t="s">
        <v>11</v>
      </c>
      <c r="L111" s="307" t="s">
        <v>17</v>
      </c>
      <c r="M111" s="37" t="s">
        <v>31</v>
      </c>
      <c r="N111" s="37"/>
      <c r="O111" s="13">
        <f t="shared" ref="O111:T111" si="227">O73</f>
        <v>2019</v>
      </c>
      <c r="P111" s="13">
        <f t="shared" si="227"/>
        <v>2020</v>
      </c>
      <c r="Q111" s="13">
        <f t="shared" si="227"/>
        <v>2021</v>
      </c>
      <c r="R111" s="13">
        <f t="shared" si="227"/>
        <v>2022</v>
      </c>
      <c r="S111" s="13">
        <f t="shared" si="227"/>
        <v>2023</v>
      </c>
      <c r="T111" s="13">
        <f t="shared" si="227"/>
        <v>2024</v>
      </c>
      <c r="U111" s="256" t="s">
        <v>11</v>
      </c>
      <c r="V111" s="14"/>
      <c r="W111" s="307" t="s">
        <v>17</v>
      </c>
      <c r="X111" s="37" t="s">
        <v>31</v>
      </c>
      <c r="Y111" s="37"/>
      <c r="Z111" s="13">
        <f t="shared" ref="Z111:AE111" si="228">Z73</f>
        <v>2019</v>
      </c>
      <c r="AA111" s="13">
        <f t="shared" si="228"/>
        <v>2020</v>
      </c>
      <c r="AB111" s="13">
        <f t="shared" si="228"/>
        <v>2021</v>
      </c>
      <c r="AC111" s="13">
        <f t="shared" si="228"/>
        <v>2022</v>
      </c>
      <c r="AD111" s="13">
        <f t="shared" si="228"/>
        <v>2023</v>
      </c>
      <c r="AE111" s="13">
        <f t="shared" si="228"/>
        <v>2024</v>
      </c>
      <c r="AF111" s="256" t="s">
        <v>11</v>
      </c>
    </row>
    <row r="112" spans="1:32" x14ac:dyDescent="0.2">
      <c r="A112" s="308"/>
      <c r="B112" s="79"/>
      <c r="C112" s="254"/>
      <c r="D112" s="258"/>
      <c r="E112" s="259"/>
      <c r="F112" s="259"/>
      <c r="G112" s="259"/>
      <c r="H112" s="259"/>
      <c r="I112" s="260"/>
      <c r="J112" s="50">
        <f t="shared" ref="J112:J125" si="229">SUM(D112:I112)</f>
        <v>0</v>
      </c>
      <c r="L112" s="308"/>
      <c r="M112" s="79"/>
      <c r="N112" s="80"/>
      <c r="O112" s="29"/>
      <c r="P112" s="29"/>
      <c r="Q112" s="29"/>
      <c r="R112" s="29"/>
      <c r="S112" s="29"/>
      <c r="T112" s="29"/>
      <c r="U112" s="237">
        <f t="shared" ref="U112:U125" si="230">SUM(O112:T112)</f>
        <v>0</v>
      </c>
      <c r="V112" s="16"/>
      <c r="W112" s="308"/>
      <c r="X112" s="79"/>
      <c r="Y112" s="80"/>
      <c r="Z112" s="29"/>
      <c r="AA112" s="29"/>
      <c r="AB112" s="29"/>
      <c r="AC112" s="29"/>
      <c r="AD112" s="29"/>
      <c r="AE112" s="29"/>
      <c r="AF112" s="237">
        <f t="shared" ref="AF112:AF125" si="231">SUM(Z112:AE112)</f>
        <v>0</v>
      </c>
    </row>
    <row r="113" spans="1:32" x14ac:dyDescent="0.2">
      <c r="A113" s="308"/>
      <c r="B113" s="85"/>
      <c r="C113" s="266"/>
      <c r="D113" s="261"/>
      <c r="E113" s="29"/>
      <c r="F113" s="29"/>
      <c r="G113" s="29"/>
      <c r="H113" s="29"/>
      <c r="I113" s="262"/>
      <c r="J113" s="50">
        <f t="shared" si="229"/>
        <v>0</v>
      </c>
      <c r="L113" s="308"/>
      <c r="M113" s="35"/>
      <c r="N113" s="36"/>
      <c r="O113" s="29"/>
      <c r="P113" s="29"/>
      <c r="Q113" s="29"/>
      <c r="R113" s="29"/>
      <c r="S113" s="29"/>
      <c r="T113" s="29"/>
      <c r="U113" s="238">
        <f t="shared" si="230"/>
        <v>0</v>
      </c>
      <c r="V113" s="16"/>
      <c r="W113" s="308"/>
      <c r="X113" s="35"/>
      <c r="Y113" s="36"/>
      <c r="Z113" s="29"/>
      <c r="AA113" s="29"/>
      <c r="AB113" s="29"/>
      <c r="AC113" s="29"/>
      <c r="AD113" s="29"/>
      <c r="AE113" s="29"/>
      <c r="AF113" s="238">
        <f t="shared" si="231"/>
        <v>0</v>
      </c>
    </row>
    <row r="114" spans="1:32" x14ac:dyDescent="0.2">
      <c r="A114" s="308"/>
      <c r="B114" s="35"/>
      <c r="C114" s="266"/>
      <c r="D114" s="261"/>
      <c r="E114" s="29"/>
      <c r="F114" s="29"/>
      <c r="G114" s="29"/>
      <c r="H114" s="29"/>
      <c r="I114" s="262"/>
      <c r="J114" s="50">
        <f t="shared" si="229"/>
        <v>0</v>
      </c>
      <c r="L114" s="308"/>
      <c r="M114" s="85"/>
      <c r="N114" s="36"/>
      <c r="O114" s="29"/>
      <c r="P114" s="29"/>
      <c r="Q114" s="29"/>
      <c r="R114" s="29"/>
      <c r="S114" s="29"/>
      <c r="T114" s="29"/>
      <c r="U114" s="238">
        <f t="shared" si="230"/>
        <v>0</v>
      </c>
      <c r="V114" s="16"/>
      <c r="W114" s="308"/>
      <c r="X114" s="35"/>
      <c r="Y114" s="36"/>
      <c r="Z114" s="29"/>
      <c r="AA114" s="29"/>
      <c r="AB114" s="29"/>
      <c r="AC114" s="29"/>
      <c r="AD114" s="29"/>
      <c r="AE114" s="29"/>
      <c r="AF114" s="238">
        <f t="shared" si="231"/>
        <v>0</v>
      </c>
    </row>
    <row r="115" spans="1:32" x14ac:dyDescent="0.2">
      <c r="A115" s="308"/>
      <c r="B115" s="35"/>
      <c r="C115" s="266"/>
      <c r="D115" s="261"/>
      <c r="E115" s="29"/>
      <c r="F115" s="29"/>
      <c r="G115" s="29"/>
      <c r="H115" s="29"/>
      <c r="I115" s="262"/>
      <c r="J115" s="50">
        <f t="shared" si="229"/>
        <v>0</v>
      </c>
      <c r="L115" s="308"/>
      <c r="M115" s="85"/>
      <c r="N115" s="36"/>
      <c r="O115" s="29"/>
      <c r="P115" s="29"/>
      <c r="Q115" s="29"/>
      <c r="R115" s="29"/>
      <c r="S115" s="29"/>
      <c r="T115" s="29"/>
      <c r="U115" s="238">
        <f t="shared" si="230"/>
        <v>0</v>
      </c>
      <c r="V115" s="16"/>
      <c r="W115" s="308"/>
      <c r="X115" s="35"/>
      <c r="Y115" s="36"/>
      <c r="Z115" s="29"/>
      <c r="AA115" s="29"/>
      <c r="AB115" s="29"/>
      <c r="AC115" s="29"/>
      <c r="AD115" s="29"/>
      <c r="AE115" s="29"/>
      <c r="AF115" s="238">
        <f t="shared" si="231"/>
        <v>0</v>
      </c>
    </row>
    <row r="116" spans="1:32" x14ac:dyDescent="0.2">
      <c r="A116" s="308"/>
      <c r="B116" s="35"/>
      <c r="C116" s="266"/>
      <c r="D116" s="261"/>
      <c r="E116" s="29"/>
      <c r="F116" s="29"/>
      <c r="G116" s="29"/>
      <c r="H116" s="29"/>
      <c r="I116" s="262"/>
      <c r="J116" s="50">
        <f t="shared" si="229"/>
        <v>0</v>
      </c>
      <c r="L116" s="308"/>
      <c r="M116" s="35"/>
      <c r="N116" s="36"/>
      <c r="O116" s="29"/>
      <c r="P116" s="29"/>
      <c r="Q116" s="29"/>
      <c r="R116" s="29"/>
      <c r="S116" s="29"/>
      <c r="T116" s="29"/>
      <c r="U116" s="238">
        <f t="shared" si="230"/>
        <v>0</v>
      </c>
      <c r="V116" s="16"/>
      <c r="W116" s="308"/>
      <c r="X116" s="35"/>
      <c r="Y116" s="36"/>
      <c r="Z116" s="29"/>
      <c r="AA116" s="29"/>
      <c r="AB116" s="29"/>
      <c r="AC116" s="29"/>
      <c r="AD116" s="29"/>
      <c r="AE116" s="29"/>
      <c r="AF116" s="238">
        <f t="shared" si="231"/>
        <v>0</v>
      </c>
    </row>
    <row r="117" spans="1:32" x14ac:dyDescent="0.2">
      <c r="A117" s="308"/>
      <c r="B117" s="35"/>
      <c r="C117" s="266"/>
      <c r="D117" s="261"/>
      <c r="E117" s="29"/>
      <c r="F117" s="29"/>
      <c r="G117" s="29"/>
      <c r="H117" s="29"/>
      <c r="I117" s="262"/>
      <c r="J117" s="50">
        <f t="shared" si="229"/>
        <v>0</v>
      </c>
      <c r="L117" s="308"/>
      <c r="M117" s="35"/>
      <c r="N117" s="36"/>
      <c r="O117" s="29"/>
      <c r="P117" s="29"/>
      <c r="Q117" s="29"/>
      <c r="R117" s="29"/>
      <c r="S117" s="29"/>
      <c r="T117" s="29"/>
      <c r="U117" s="238">
        <f t="shared" si="230"/>
        <v>0</v>
      </c>
      <c r="V117" s="16"/>
      <c r="W117" s="308"/>
      <c r="X117" s="35"/>
      <c r="Y117" s="36"/>
      <c r="Z117" s="29"/>
      <c r="AA117" s="29"/>
      <c r="AB117" s="29"/>
      <c r="AC117" s="29"/>
      <c r="AD117" s="29"/>
      <c r="AE117" s="29"/>
      <c r="AF117" s="238">
        <f t="shared" si="231"/>
        <v>0</v>
      </c>
    </row>
    <row r="118" spans="1:32" x14ac:dyDescent="0.2">
      <c r="A118" s="308"/>
      <c r="B118" s="35"/>
      <c r="C118" s="266"/>
      <c r="D118" s="261"/>
      <c r="E118" s="29"/>
      <c r="F118" s="29"/>
      <c r="G118" s="29"/>
      <c r="H118" s="29"/>
      <c r="I118" s="262"/>
      <c r="J118" s="50">
        <f t="shared" si="229"/>
        <v>0</v>
      </c>
      <c r="L118" s="308"/>
      <c r="M118" s="35"/>
      <c r="N118" s="36"/>
      <c r="O118" s="29"/>
      <c r="P118" s="29"/>
      <c r="Q118" s="29"/>
      <c r="R118" s="29"/>
      <c r="S118" s="29"/>
      <c r="T118" s="29"/>
      <c r="U118" s="238">
        <f t="shared" si="230"/>
        <v>0</v>
      </c>
      <c r="V118" s="16"/>
      <c r="W118" s="308"/>
      <c r="X118" s="85"/>
      <c r="Y118" s="36"/>
      <c r="Z118" s="29"/>
      <c r="AA118" s="29"/>
      <c r="AB118" s="29"/>
      <c r="AC118" s="29"/>
      <c r="AD118" s="29"/>
      <c r="AE118" s="29"/>
      <c r="AF118" s="238">
        <f t="shared" si="231"/>
        <v>0</v>
      </c>
    </row>
    <row r="119" spans="1:32" x14ac:dyDescent="0.2">
      <c r="A119" s="308"/>
      <c r="B119" s="77"/>
      <c r="C119" s="15"/>
      <c r="D119" s="261"/>
      <c r="E119" s="29"/>
      <c r="F119" s="29"/>
      <c r="G119" s="29"/>
      <c r="H119" s="29"/>
      <c r="I119" s="262"/>
      <c r="J119" s="50">
        <f t="shared" si="229"/>
        <v>0</v>
      </c>
      <c r="L119" s="308"/>
      <c r="M119" s="77"/>
      <c r="N119" s="78"/>
      <c r="O119" s="29"/>
      <c r="P119" s="29"/>
      <c r="Q119" s="29"/>
      <c r="R119" s="29"/>
      <c r="S119" s="29"/>
      <c r="T119" s="29"/>
      <c r="U119" s="238">
        <f t="shared" si="230"/>
        <v>0</v>
      </c>
      <c r="V119" s="16"/>
      <c r="W119" s="308"/>
      <c r="X119" s="77"/>
      <c r="Y119" s="78"/>
      <c r="Z119" s="29"/>
      <c r="AA119" s="29"/>
      <c r="AB119" s="29"/>
      <c r="AC119" s="29"/>
      <c r="AD119" s="29"/>
      <c r="AE119" s="29"/>
      <c r="AF119" s="238">
        <f t="shared" si="231"/>
        <v>0</v>
      </c>
    </row>
    <row r="120" spans="1:32" x14ac:dyDescent="0.2">
      <c r="A120" s="308"/>
      <c r="B120" s="35"/>
      <c r="C120" s="266"/>
      <c r="D120" s="261"/>
      <c r="E120" s="29"/>
      <c r="F120" s="29"/>
      <c r="G120" s="29"/>
      <c r="H120" s="29"/>
      <c r="I120" s="262"/>
      <c r="J120" s="50">
        <f t="shared" si="229"/>
        <v>0</v>
      </c>
      <c r="L120" s="308"/>
      <c r="M120" s="85"/>
      <c r="N120" s="36"/>
      <c r="O120" s="29"/>
      <c r="P120" s="29"/>
      <c r="Q120" s="29"/>
      <c r="R120" s="29"/>
      <c r="S120" s="29"/>
      <c r="T120" s="29"/>
      <c r="U120" s="238">
        <f t="shared" si="230"/>
        <v>0</v>
      </c>
      <c r="V120" s="16"/>
      <c r="W120" s="308"/>
      <c r="X120" s="85"/>
      <c r="Y120" s="36"/>
      <c r="Z120" s="29"/>
      <c r="AA120" s="29"/>
      <c r="AB120" s="29"/>
      <c r="AC120" s="29"/>
      <c r="AD120" s="29"/>
      <c r="AE120" s="29"/>
      <c r="AF120" s="238">
        <f t="shared" si="231"/>
        <v>0</v>
      </c>
    </row>
    <row r="121" spans="1:32" x14ac:dyDescent="0.2">
      <c r="A121" s="308"/>
      <c r="B121" s="77"/>
      <c r="C121" s="15"/>
      <c r="D121" s="261"/>
      <c r="E121" s="29"/>
      <c r="F121" s="29"/>
      <c r="G121" s="29"/>
      <c r="H121" s="29"/>
      <c r="I121" s="262"/>
      <c r="J121" s="50">
        <f t="shared" si="229"/>
        <v>0</v>
      </c>
      <c r="L121" s="308"/>
      <c r="M121" s="77"/>
      <c r="N121" s="78"/>
      <c r="O121" s="29"/>
      <c r="P121" s="29"/>
      <c r="Q121" s="29"/>
      <c r="R121" s="29"/>
      <c r="S121" s="29"/>
      <c r="T121" s="29"/>
      <c r="U121" s="238">
        <f t="shared" si="230"/>
        <v>0</v>
      </c>
      <c r="V121" s="16"/>
      <c r="W121" s="308"/>
      <c r="X121" s="77"/>
      <c r="Y121" s="78"/>
      <c r="Z121" s="29"/>
      <c r="AA121" s="29"/>
      <c r="AB121" s="29"/>
      <c r="AC121" s="29"/>
      <c r="AD121" s="29"/>
      <c r="AE121" s="29"/>
      <c r="AF121" s="238">
        <f t="shared" si="231"/>
        <v>0</v>
      </c>
    </row>
    <row r="122" spans="1:32" x14ac:dyDescent="0.2">
      <c r="A122" s="308"/>
      <c r="B122" s="35"/>
      <c r="C122" s="266"/>
      <c r="D122" s="261"/>
      <c r="E122" s="29"/>
      <c r="F122" s="29"/>
      <c r="G122" s="29"/>
      <c r="H122" s="29"/>
      <c r="I122" s="262"/>
      <c r="J122" s="50">
        <f t="shared" si="229"/>
        <v>0</v>
      </c>
      <c r="L122" s="308"/>
      <c r="M122" s="35"/>
      <c r="N122" s="36"/>
      <c r="O122" s="29"/>
      <c r="P122" s="29"/>
      <c r="Q122" s="29"/>
      <c r="R122" s="29"/>
      <c r="S122" s="29"/>
      <c r="T122" s="29"/>
      <c r="U122" s="238">
        <f t="shared" si="230"/>
        <v>0</v>
      </c>
      <c r="V122" s="16"/>
      <c r="W122" s="308"/>
      <c r="X122" s="35"/>
      <c r="Y122" s="36"/>
      <c r="Z122" s="29"/>
      <c r="AA122" s="29"/>
      <c r="AB122" s="29"/>
      <c r="AC122" s="29"/>
      <c r="AD122" s="29"/>
      <c r="AE122" s="29"/>
      <c r="AF122" s="238">
        <f t="shared" si="231"/>
        <v>0</v>
      </c>
    </row>
    <row r="123" spans="1:32" x14ac:dyDescent="0.2">
      <c r="A123" s="308"/>
      <c r="B123" s="77"/>
      <c r="C123" s="15"/>
      <c r="D123" s="261"/>
      <c r="E123" s="29"/>
      <c r="F123" s="29"/>
      <c r="G123" s="29"/>
      <c r="H123" s="29"/>
      <c r="I123" s="262"/>
      <c r="J123" s="50">
        <f t="shared" si="229"/>
        <v>0</v>
      </c>
      <c r="L123" s="308"/>
      <c r="M123" s="77"/>
      <c r="N123" s="78"/>
      <c r="O123" s="29"/>
      <c r="P123" s="29"/>
      <c r="Q123" s="29"/>
      <c r="R123" s="29"/>
      <c r="S123" s="29"/>
      <c r="T123" s="29"/>
      <c r="U123" s="238">
        <f t="shared" si="230"/>
        <v>0</v>
      </c>
      <c r="V123" s="16"/>
      <c r="W123" s="308"/>
      <c r="X123" s="77"/>
      <c r="Y123" s="78"/>
      <c r="Z123" s="29"/>
      <c r="AA123" s="29"/>
      <c r="AB123" s="29"/>
      <c r="AC123" s="29"/>
      <c r="AD123" s="29"/>
      <c r="AE123" s="29"/>
      <c r="AF123" s="238">
        <f t="shared" si="231"/>
        <v>0</v>
      </c>
    </row>
    <row r="124" spans="1:32" ht="16" thickBot="1" x14ac:dyDescent="0.25">
      <c r="A124" s="308"/>
      <c r="B124" s="81"/>
      <c r="C124" s="255"/>
      <c r="D124" s="263"/>
      <c r="E124" s="264"/>
      <c r="F124" s="264"/>
      <c r="G124" s="264"/>
      <c r="H124" s="264"/>
      <c r="I124" s="265"/>
      <c r="J124" s="50">
        <f t="shared" si="229"/>
        <v>0</v>
      </c>
      <c r="L124" s="308"/>
      <c r="M124" s="81"/>
      <c r="N124" s="82"/>
      <c r="O124" s="29"/>
      <c r="P124" s="29"/>
      <c r="Q124" s="29"/>
      <c r="R124" s="29"/>
      <c r="S124" s="29"/>
      <c r="T124" s="29"/>
      <c r="U124" s="239">
        <f t="shared" si="230"/>
        <v>0</v>
      </c>
      <c r="V124" s="16"/>
      <c r="W124" s="308"/>
      <c r="X124" s="81"/>
      <c r="Y124" s="82"/>
      <c r="Z124" s="29"/>
      <c r="AA124" s="29"/>
      <c r="AB124" s="29"/>
      <c r="AC124" s="29"/>
      <c r="AD124" s="29"/>
      <c r="AE124" s="29"/>
      <c r="AF124" s="239">
        <f t="shared" si="231"/>
        <v>0</v>
      </c>
    </row>
    <row r="125" spans="1:32" ht="16" thickBot="1" x14ac:dyDescent="0.25">
      <c r="A125" s="308"/>
      <c r="B125" s="17" t="s">
        <v>32</v>
      </c>
      <c r="C125" s="17"/>
      <c r="D125" s="257">
        <f t="shared" ref="D125:I125" si="232">ROUND(SUM(D112:D124),0)</f>
        <v>0</v>
      </c>
      <c r="E125" s="257">
        <f t="shared" si="232"/>
        <v>0</v>
      </c>
      <c r="F125" s="257">
        <f t="shared" si="232"/>
        <v>0</v>
      </c>
      <c r="G125" s="257">
        <f t="shared" si="232"/>
        <v>0</v>
      </c>
      <c r="H125" s="257">
        <f t="shared" si="232"/>
        <v>0</v>
      </c>
      <c r="I125" s="257">
        <f t="shared" si="232"/>
        <v>0</v>
      </c>
      <c r="J125" s="54">
        <f t="shared" si="229"/>
        <v>0</v>
      </c>
      <c r="L125" s="308"/>
      <c r="M125" s="17" t="s">
        <v>32</v>
      </c>
      <c r="N125" s="17"/>
      <c r="O125" s="28">
        <f t="shared" ref="O125:T125" si="233">ROUND(SUM(O112:O124),0)</f>
        <v>0</v>
      </c>
      <c r="P125" s="28">
        <f t="shared" si="233"/>
        <v>0</v>
      </c>
      <c r="Q125" s="28">
        <f t="shared" si="233"/>
        <v>0</v>
      </c>
      <c r="R125" s="28">
        <f t="shared" si="233"/>
        <v>0</v>
      </c>
      <c r="S125" s="28">
        <f t="shared" si="233"/>
        <v>0</v>
      </c>
      <c r="T125" s="28">
        <f t="shared" si="233"/>
        <v>0</v>
      </c>
      <c r="U125" s="257">
        <f t="shared" si="230"/>
        <v>0</v>
      </c>
      <c r="V125" s="22"/>
      <c r="W125" s="308"/>
      <c r="X125" s="17" t="s">
        <v>32</v>
      </c>
      <c r="Y125" s="17"/>
      <c r="Z125" s="28">
        <f t="shared" ref="Z125:AE125" si="234">ROUND(SUM(Z112:Z124),0)</f>
        <v>0</v>
      </c>
      <c r="AA125" s="28">
        <f t="shared" si="234"/>
        <v>0</v>
      </c>
      <c r="AB125" s="28">
        <f t="shared" si="234"/>
        <v>0</v>
      </c>
      <c r="AC125" s="28">
        <f t="shared" si="234"/>
        <v>0</v>
      </c>
      <c r="AD125" s="28">
        <f t="shared" si="234"/>
        <v>0</v>
      </c>
      <c r="AE125" s="28">
        <f t="shared" si="234"/>
        <v>0</v>
      </c>
      <c r="AF125" s="257">
        <f t="shared" si="231"/>
        <v>0</v>
      </c>
    </row>
    <row r="126" spans="1:32" x14ac:dyDescent="0.2">
      <c r="A126" s="304" t="s">
        <v>18</v>
      </c>
      <c r="B126" s="37"/>
      <c r="C126" s="37"/>
      <c r="D126" s="13">
        <f t="shared" ref="D126:I126" si="235">D73</f>
        <v>2019</v>
      </c>
      <c r="E126" s="13">
        <f t="shared" si="235"/>
        <v>2020</v>
      </c>
      <c r="F126" s="13">
        <f t="shared" si="235"/>
        <v>2021</v>
      </c>
      <c r="G126" s="13">
        <f t="shared" si="235"/>
        <v>2022</v>
      </c>
      <c r="H126" s="13">
        <f t="shared" si="235"/>
        <v>2023</v>
      </c>
      <c r="I126" s="13">
        <f t="shared" si="235"/>
        <v>2024</v>
      </c>
      <c r="J126" s="46" t="s">
        <v>0</v>
      </c>
      <c r="L126" s="304" t="s">
        <v>18</v>
      </c>
      <c r="M126" s="37"/>
      <c r="N126" s="37"/>
      <c r="O126" s="13">
        <f t="shared" ref="O126:T126" si="236">O73</f>
        <v>2019</v>
      </c>
      <c r="P126" s="13">
        <f t="shared" si="236"/>
        <v>2020</v>
      </c>
      <c r="Q126" s="13">
        <f t="shared" si="236"/>
        <v>2021</v>
      </c>
      <c r="R126" s="13">
        <f t="shared" si="236"/>
        <v>2022</v>
      </c>
      <c r="S126" s="13">
        <f t="shared" si="236"/>
        <v>2023</v>
      </c>
      <c r="T126" s="13">
        <f t="shared" si="236"/>
        <v>2024</v>
      </c>
      <c r="U126" s="13" t="s">
        <v>0</v>
      </c>
      <c r="V126" s="14"/>
      <c r="W126" s="304" t="s">
        <v>18</v>
      </c>
      <c r="X126" s="37"/>
      <c r="Y126" s="37"/>
      <c r="Z126" s="13">
        <f t="shared" ref="Z126:AE126" si="237">Z73</f>
        <v>2019</v>
      </c>
      <c r="AA126" s="13">
        <f t="shared" si="237"/>
        <v>2020</v>
      </c>
      <c r="AB126" s="13">
        <f t="shared" si="237"/>
        <v>2021</v>
      </c>
      <c r="AC126" s="13">
        <f t="shared" si="237"/>
        <v>2022</v>
      </c>
      <c r="AD126" s="13">
        <f t="shared" si="237"/>
        <v>2023</v>
      </c>
      <c r="AE126" s="13">
        <f t="shared" si="237"/>
        <v>2024</v>
      </c>
      <c r="AF126" s="13" t="s">
        <v>0</v>
      </c>
    </row>
    <row r="127" spans="1:32" x14ac:dyDescent="0.2">
      <c r="A127" s="305"/>
      <c r="B127" s="33" t="s">
        <v>19</v>
      </c>
      <c r="C127" s="33"/>
      <c r="D127" s="22">
        <f t="shared" ref="D127:I127" si="238">D105+D110+D125</f>
        <v>0</v>
      </c>
      <c r="E127" s="22">
        <f t="shared" si="238"/>
        <v>0</v>
      </c>
      <c r="F127" s="22">
        <f t="shared" si="238"/>
        <v>0</v>
      </c>
      <c r="G127" s="22">
        <f t="shared" si="238"/>
        <v>0</v>
      </c>
      <c r="H127" s="22">
        <f t="shared" si="238"/>
        <v>0</v>
      </c>
      <c r="I127" s="22">
        <f t="shared" si="238"/>
        <v>0</v>
      </c>
      <c r="J127" s="50">
        <f>SUM(D127:I127)</f>
        <v>0</v>
      </c>
      <c r="L127" s="305"/>
      <c r="M127" s="33" t="s">
        <v>19</v>
      </c>
      <c r="N127" s="33"/>
      <c r="O127" s="22">
        <f t="shared" ref="O127:T127" si="239">O105+O110+O125</f>
        <v>0</v>
      </c>
      <c r="P127" s="22">
        <f t="shared" si="239"/>
        <v>0</v>
      </c>
      <c r="Q127" s="22">
        <f t="shared" si="239"/>
        <v>0</v>
      </c>
      <c r="R127" s="22">
        <f t="shared" si="239"/>
        <v>0</v>
      </c>
      <c r="S127" s="22">
        <f t="shared" si="239"/>
        <v>0</v>
      </c>
      <c r="T127" s="22">
        <f t="shared" si="239"/>
        <v>0</v>
      </c>
      <c r="U127" s="22">
        <f>SUM(O127:T127)</f>
        <v>0</v>
      </c>
      <c r="V127" s="22"/>
      <c r="W127" s="305"/>
      <c r="X127" s="33" t="s">
        <v>19</v>
      </c>
      <c r="Y127" s="33"/>
      <c r="Z127" s="22">
        <f t="shared" ref="Z127:AE127" si="240">Z105+Z110+Z125</f>
        <v>0</v>
      </c>
      <c r="AA127" s="22">
        <f t="shared" si="240"/>
        <v>0</v>
      </c>
      <c r="AB127" s="22">
        <f t="shared" si="240"/>
        <v>0</v>
      </c>
      <c r="AC127" s="22">
        <f t="shared" si="240"/>
        <v>0</v>
      </c>
      <c r="AD127" s="22">
        <f t="shared" si="240"/>
        <v>0</v>
      </c>
      <c r="AE127" s="22">
        <f t="shared" si="240"/>
        <v>0</v>
      </c>
      <c r="AF127" s="22">
        <f>SUM(Z127:AE127)</f>
        <v>0</v>
      </c>
    </row>
    <row r="128" spans="1:32" x14ac:dyDescent="0.2">
      <c r="A128" s="305"/>
      <c r="B128" s="33" t="s">
        <v>1</v>
      </c>
      <c r="C128" s="34">
        <v>0.44</v>
      </c>
      <c r="D128" s="22">
        <f>D127*$C$128</f>
        <v>0</v>
      </c>
      <c r="E128" s="22">
        <f t="shared" ref="E128:I128" si="241">E127*$C$128</f>
        <v>0</v>
      </c>
      <c r="F128" s="22">
        <f t="shared" si="241"/>
        <v>0</v>
      </c>
      <c r="G128" s="22">
        <f t="shared" si="241"/>
        <v>0</v>
      </c>
      <c r="H128" s="22">
        <f t="shared" si="241"/>
        <v>0</v>
      </c>
      <c r="I128" s="22">
        <f t="shared" si="241"/>
        <v>0</v>
      </c>
      <c r="J128" s="50">
        <f>SUM(D128:I128)</f>
        <v>0</v>
      </c>
      <c r="L128" s="305"/>
      <c r="M128" s="33" t="s">
        <v>1</v>
      </c>
      <c r="N128" s="34">
        <v>0</v>
      </c>
      <c r="O128" s="22">
        <f>O127*$N128</f>
        <v>0</v>
      </c>
      <c r="P128" s="22">
        <f t="shared" ref="P128" si="242">P127*$N128</f>
        <v>0</v>
      </c>
      <c r="Q128" s="22">
        <f t="shared" ref="Q128" si="243">Q127*$N128</f>
        <v>0</v>
      </c>
      <c r="R128" s="22">
        <f t="shared" ref="R128" si="244">R127*$N128</f>
        <v>0</v>
      </c>
      <c r="S128" s="22">
        <f t="shared" ref="S128" si="245">S127*$N128</f>
        <v>0</v>
      </c>
      <c r="T128" s="22">
        <f t="shared" ref="T128" si="246">T127*$N128</f>
        <v>0</v>
      </c>
      <c r="U128" s="22">
        <f>SUM(O128:T128)</f>
        <v>0</v>
      </c>
      <c r="V128" s="22"/>
      <c r="W128" s="305"/>
      <c r="X128" s="33" t="s">
        <v>1</v>
      </c>
      <c r="Y128" s="34">
        <v>0</v>
      </c>
      <c r="Z128" s="22">
        <f>Z127*$Y128</f>
        <v>0</v>
      </c>
      <c r="AA128" s="22">
        <f t="shared" ref="AA128" si="247">AA127*$Y128</f>
        <v>0</v>
      </c>
      <c r="AB128" s="22">
        <f t="shared" ref="AB128" si="248">AB127*$Y128</f>
        <v>0</v>
      </c>
      <c r="AC128" s="22">
        <f t="shared" ref="AC128" si="249">AC127*$Y128</f>
        <v>0</v>
      </c>
      <c r="AD128" s="22">
        <f t="shared" ref="AD128" si="250">AD127*$Y128</f>
        <v>0</v>
      </c>
      <c r="AE128" s="22">
        <f t="shared" ref="AE128" si="251">AE127*$Y128</f>
        <v>0</v>
      </c>
      <c r="AF128" s="22">
        <f>SUM(Z128:AE128)</f>
        <v>0</v>
      </c>
    </row>
    <row r="129" spans="1:32" ht="16" thickBot="1" x14ac:dyDescent="0.25">
      <c r="A129" s="306"/>
      <c r="B129" s="17" t="s">
        <v>20</v>
      </c>
      <c r="C129" s="17"/>
      <c r="D129" s="28">
        <f t="shared" ref="D129:I129" si="252">SUM(D127:D128)</f>
        <v>0</v>
      </c>
      <c r="E129" s="28">
        <f t="shared" si="252"/>
        <v>0</v>
      </c>
      <c r="F129" s="28">
        <f t="shared" si="252"/>
        <v>0</v>
      </c>
      <c r="G129" s="28">
        <f t="shared" si="252"/>
        <v>0</v>
      </c>
      <c r="H129" s="28">
        <f t="shared" si="252"/>
        <v>0</v>
      </c>
      <c r="I129" s="28">
        <f t="shared" si="252"/>
        <v>0</v>
      </c>
      <c r="J129" s="54">
        <f>SUM(D129:I129)</f>
        <v>0</v>
      </c>
      <c r="L129" s="306"/>
      <c r="M129" s="17" t="s">
        <v>20</v>
      </c>
      <c r="N129" s="17"/>
      <c r="O129" s="28">
        <f t="shared" ref="O129:T129" si="253">SUM(O127:O128)</f>
        <v>0</v>
      </c>
      <c r="P129" s="28">
        <f t="shared" si="253"/>
        <v>0</v>
      </c>
      <c r="Q129" s="28">
        <f t="shared" si="253"/>
        <v>0</v>
      </c>
      <c r="R129" s="28">
        <f t="shared" si="253"/>
        <v>0</v>
      </c>
      <c r="S129" s="28">
        <f t="shared" si="253"/>
        <v>0</v>
      </c>
      <c r="T129" s="28">
        <f t="shared" si="253"/>
        <v>0</v>
      </c>
      <c r="U129" s="28">
        <f>SUM(O129:T129)</f>
        <v>0</v>
      </c>
      <c r="V129" s="22"/>
      <c r="W129" s="306"/>
      <c r="X129" s="17" t="s">
        <v>20</v>
      </c>
      <c r="Y129" s="17"/>
      <c r="Z129" s="28">
        <f t="shared" ref="Z129:AE129" si="254">SUM(Z127:Z128)</f>
        <v>0</v>
      </c>
      <c r="AA129" s="28">
        <f t="shared" si="254"/>
        <v>0</v>
      </c>
      <c r="AB129" s="28">
        <f t="shared" si="254"/>
        <v>0</v>
      </c>
      <c r="AC129" s="28">
        <f t="shared" si="254"/>
        <v>0</v>
      </c>
      <c r="AD129" s="28">
        <f t="shared" si="254"/>
        <v>0</v>
      </c>
      <c r="AE129" s="28">
        <f t="shared" si="254"/>
        <v>0</v>
      </c>
      <c r="AF129" s="28">
        <f>SUM(Z129:AE129)</f>
        <v>0</v>
      </c>
    </row>
    <row r="130" spans="1:32" x14ac:dyDescent="0.2">
      <c r="A130" s="42"/>
      <c r="B130" s="33" t="s">
        <v>71</v>
      </c>
      <c r="C130" s="33"/>
      <c r="E130" s="22">
        <f>J129+U129+AF129</f>
        <v>0</v>
      </c>
      <c r="F130" s="22"/>
      <c r="G130" s="22"/>
      <c r="H130" s="22"/>
      <c r="I130" s="22"/>
      <c r="J130" s="22"/>
      <c r="L130" s="42"/>
      <c r="M130" s="33"/>
      <c r="N130" s="33"/>
      <c r="O130" s="22"/>
      <c r="P130" s="22"/>
      <c r="Q130" s="22"/>
      <c r="R130" s="22"/>
      <c r="S130" s="22"/>
      <c r="T130" s="22"/>
      <c r="U130" s="22"/>
      <c r="V130" s="22"/>
      <c r="W130" s="42"/>
      <c r="X130" s="33"/>
      <c r="Y130" s="33"/>
      <c r="Z130" s="22"/>
      <c r="AA130" s="22"/>
      <c r="AB130" s="22"/>
      <c r="AC130" s="22"/>
      <c r="AD130" s="22"/>
      <c r="AE130" s="22"/>
      <c r="AF130" s="22"/>
    </row>
    <row r="131" spans="1:32" x14ac:dyDescent="0.2">
      <c r="A131" s="42"/>
      <c r="B131" s="33" t="s">
        <v>72</v>
      </c>
      <c r="C131" s="33"/>
      <c r="D131" s="22"/>
      <c r="E131" s="22">
        <f>J127+U127+AF127</f>
        <v>0</v>
      </c>
      <c r="F131" s="22"/>
      <c r="G131" s="22"/>
      <c r="H131" s="22"/>
      <c r="I131" s="22"/>
      <c r="J131" s="22"/>
      <c r="L131" s="42"/>
      <c r="M131" s="33"/>
      <c r="N131" s="33"/>
      <c r="O131" s="22"/>
      <c r="P131" s="22"/>
      <c r="Q131" s="22"/>
      <c r="R131" s="22"/>
      <c r="S131" s="22"/>
      <c r="T131" s="22"/>
      <c r="U131" s="22"/>
      <c r="V131" s="22"/>
      <c r="W131" s="42"/>
      <c r="X131" s="33"/>
      <c r="Y131" s="33"/>
      <c r="Z131" s="22"/>
      <c r="AA131" s="22"/>
      <c r="AB131" s="22"/>
      <c r="AC131" s="22"/>
      <c r="AD131" s="22"/>
      <c r="AE131" s="22"/>
      <c r="AF131" s="22"/>
    </row>
    <row r="133" spans="1:32" ht="32" thickBot="1" x14ac:dyDescent="0.25">
      <c r="A133" s="6"/>
      <c r="B133" s="45" t="s">
        <v>87</v>
      </c>
      <c r="C133" s="216"/>
      <c r="D133" s="216" t="s">
        <v>22</v>
      </c>
      <c r="E133" s="216"/>
      <c r="F133" s="216"/>
      <c r="G133" s="216"/>
      <c r="H133" s="216"/>
      <c r="I133" s="216"/>
      <c r="J133" s="216"/>
      <c r="K133" s="7"/>
      <c r="L133" s="322"/>
      <c r="M133" s="322"/>
      <c r="N133" s="322"/>
      <c r="O133" s="322"/>
      <c r="P133" s="322"/>
      <c r="Q133" s="322"/>
      <c r="R133" s="322"/>
      <c r="S133" s="322"/>
      <c r="T133" s="322"/>
      <c r="U133" s="322"/>
      <c r="V133" s="6"/>
      <c r="W133" s="8"/>
      <c r="X133" s="9"/>
      <c r="Y133" s="9"/>
      <c r="Z133" s="9"/>
      <c r="AA133" s="9"/>
      <c r="AB133" s="9"/>
      <c r="AC133" s="9"/>
      <c r="AD133" s="9"/>
      <c r="AE133" s="9"/>
      <c r="AF133" s="9"/>
    </row>
    <row r="134" spans="1:32" ht="27" hidden="1" thickBot="1" x14ac:dyDescent="0.25">
      <c r="A134" s="323" t="s">
        <v>26</v>
      </c>
      <c r="B134" s="323"/>
      <c r="C134" s="323"/>
      <c r="D134" s="323"/>
      <c r="E134" s="323"/>
      <c r="F134" s="323"/>
      <c r="G134" s="323"/>
      <c r="H134" s="323"/>
      <c r="I134" s="323"/>
      <c r="J134" s="323"/>
      <c r="L134" s="324" t="s">
        <v>28</v>
      </c>
      <c r="M134" s="324"/>
      <c r="N134" s="324"/>
      <c r="O134" s="324"/>
      <c r="P134" s="324"/>
      <c r="Q134" s="324"/>
      <c r="R134" s="324"/>
      <c r="S134" s="324"/>
      <c r="T134" s="324"/>
      <c r="U134" s="324"/>
      <c r="V134" s="10"/>
      <c r="W134" s="324" t="s">
        <v>27</v>
      </c>
      <c r="X134" s="324"/>
      <c r="Y134" s="324"/>
      <c r="Z134" s="324"/>
      <c r="AA134" s="324"/>
      <c r="AB134" s="324"/>
      <c r="AC134" s="324"/>
      <c r="AD134" s="324"/>
      <c r="AE134" s="324"/>
      <c r="AF134" s="324"/>
    </row>
    <row r="135" spans="1:32" ht="27" thickBot="1" x14ac:dyDescent="0.25">
      <c r="A135" s="313" t="s">
        <v>25</v>
      </c>
      <c r="B135" s="313"/>
      <c r="C135" s="313"/>
      <c r="D135" s="313"/>
      <c r="E135" s="313"/>
      <c r="F135" s="313"/>
      <c r="G135" s="313"/>
      <c r="H135" s="313"/>
      <c r="I135" s="313"/>
      <c r="J135" s="325"/>
      <c r="L135" s="315" t="s">
        <v>6</v>
      </c>
      <c r="M135" s="315"/>
      <c r="N135" s="315"/>
      <c r="O135" s="315"/>
      <c r="P135" s="315"/>
      <c r="Q135" s="315"/>
      <c r="R135" s="315"/>
      <c r="S135" s="315"/>
      <c r="T135" s="315"/>
      <c r="U135" s="315"/>
      <c r="V135" s="11"/>
      <c r="W135" s="316" t="s">
        <v>7</v>
      </c>
      <c r="X135" s="316"/>
      <c r="Y135" s="316"/>
      <c r="Z135" s="316"/>
      <c r="AA135" s="316"/>
      <c r="AB135" s="316"/>
      <c r="AC135" s="316"/>
      <c r="AD135" s="316"/>
      <c r="AE135" s="316"/>
      <c r="AF135" s="316"/>
    </row>
    <row r="136" spans="1:32" x14ac:dyDescent="0.2">
      <c r="A136" s="307" t="s">
        <v>8</v>
      </c>
      <c r="B136" s="318" t="s">
        <v>9</v>
      </c>
      <c r="C136" s="319"/>
      <c r="D136" s="12">
        <v>2019</v>
      </c>
      <c r="E136" s="12">
        <v>2020</v>
      </c>
      <c r="F136" s="12">
        <v>2021</v>
      </c>
      <c r="G136" s="12">
        <v>2022</v>
      </c>
      <c r="H136" s="12">
        <v>2023</v>
      </c>
      <c r="I136" s="12">
        <v>2024</v>
      </c>
      <c r="J136" s="46" t="s">
        <v>0</v>
      </c>
      <c r="L136" s="307" t="s">
        <v>8</v>
      </c>
      <c r="M136" s="318" t="s">
        <v>9</v>
      </c>
      <c r="N136" s="319"/>
      <c r="O136" s="12">
        <v>2019</v>
      </c>
      <c r="P136" s="12">
        <v>2020</v>
      </c>
      <c r="Q136" s="12">
        <v>2021</v>
      </c>
      <c r="R136" s="12">
        <v>2022</v>
      </c>
      <c r="S136" s="12">
        <v>2023</v>
      </c>
      <c r="T136" s="12">
        <v>2024</v>
      </c>
      <c r="U136" s="13" t="s">
        <v>0</v>
      </c>
      <c r="V136" s="14"/>
      <c r="W136" s="307" t="s">
        <v>8</v>
      </c>
      <c r="X136" s="318" t="s">
        <v>9</v>
      </c>
      <c r="Y136" s="319"/>
      <c r="Z136" s="12">
        <v>2019</v>
      </c>
      <c r="AA136" s="12">
        <v>2020</v>
      </c>
      <c r="AB136" s="12">
        <v>2021</v>
      </c>
      <c r="AC136" s="12">
        <v>2022</v>
      </c>
      <c r="AD136" s="12">
        <v>2023</v>
      </c>
      <c r="AE136" s="12">
        <v>2024</v>
      </c>
      <c r="AF136" s="13" t="s">
        <v>0</v>
      </c>
    </row>
    <row r="137" spans="1:32" ht="16" thickBot="1" x14ac:dyDescent="0.25">
      <c r="A137" s="308"/>
      <c r="B137" s="326" t="s">
        <v>29</v>
      </c>
      <c r="C137" s="327"/>
      <c r="D137" s="38"/>
      <c r="E137" s="38"/>
      <c r="F137" s="38"/>
      <c r="G137" s="38"/>
      <c r="H137" s="38"/>
      <c r="I137" s="38"/>
      <c r="J137" s="48">
        <f>SUM(J138:J146)</f>
        <v>0</v>
      </c>
      <c r="L137" s="308"/>
      <c r="M137" s="311" t="s">
        <v>29</v>
      </c>
      <c r="N137" s="312"/>
      <c r="O137" s="38"/>
      <c r="P137" s="38"/>
      <c r="Q137" s="38"/>
      <c r="R137" s="38"/>
      <c r="S137" s="38"/>
      <c r="T137" s="38"/>
      <c r="U137" s="39">
        <f>SUM(U138:U146)</f>
        <v>0</v>
      </c>
      <c r="V137" s="16"/>
      <c r="W137" s="308"/>
      <c r="X137" s="311" t="s">
        <v>29</v>
      </c>
      <c r="Y137" s="312"/>
      <c r="Z137" s="38"/>
      <c r="AA137" s="38"/>
      <c r="AB137" s="38"/>
      <c r="AC137" s="38"/>
      <c r="AD137" s="38"/>
      <c r="AE137" s="38"/>
      <c r="AF137" s="39">
        <f>SUM(AF138:AF146)</f>
        <v>0</v>
      </c>
    </row>
    <row r="138" spans="1:32" x14ac:dyDescent="0.2">
      <c r="A138" s="317"/>
      <c r="B138" s="219"/>
      <c r="C138" s="220"/>
      <c r="D138" s="15"/>
      <c r="E138" s="15"/>
      <c r="F138" s="15"/>
      <c r="G138" s="15"/>
      <c r="H138" s="15"/>
      <c r="I138" s="15"/>
      <c r="J138" s="228">
        <f t="shared" ref="J138:J146" si="255">SUM(D138:I138)</f>
        <v>0</v>
      </c>
      <c r="L138" s="308"/>
      <c r="M138" s="86">
        <f>$B138</f>
        <v>0</v>
      </c>
      <c r="N138" s="87"/>
      <c r="O138" s="15"/>
      <c r="P138" s="15"/>
      <c r="Q138" s="15"/>
      <c r="R138" s="15"/>
      <c r="S138" s="15"/>
      <c r="T138" s="15"/>
      <c r="U138" s="228">
        <f t="shared" ref="U138:U146" si="256">SUM(O138:T138)</f>
        <v>0</v>
      </c>
      <c r="V138" s="16"/>
      <c r="W138" s="308"/>
      <c r="X138" s="86">
        <f>$B138</f>
        <v>0</v>
      </c>
      <c r="Y138" s="87"/>
      <c r="Z138" s="15"/>
      <c r="AA138" s="15"/>
      <c r="AB138" s="15"/>
      <c r="AC138" s="15"/>
      <c r="AD138" s="15"/>
      <c r="AE138" s="15"/>
      <c r="AF138" s="228">
        <f t="shared" ref="AF138:AF146" si="257">SUM(Z138:AE138)</f>
        <v>0</v>
      </c>
    </row>
    <row r="139" spans="1:32" x14ac:dyDescent="0.2">
      <c r="A139" s="317"/>
      <c r="B139" s="221"/>
      <c r="C139" s="222"/>
      <c r="D139" s="15"/>
      <c r="E139" s="15"/>
      <c r="F139" s="15"/>
      <c r="G139" s="15"/>
      <c r="H139" s="15"/>
      <c r="I139" s="15"/>
      <c r="J139" s="229">
        <f t="shared" si="255"/>
        <v>0</v>
      </c>
      <c r="L139" s="308"/>
      <c r="M139" s="88">
        <f t="shared" ref="M139:M146" si="258">$B139</f>
        <v>0</v>
      </c>
      <c r="N139" s="89"/>
      <c r="O139" s="15"/>
      <c r="P139" s="15"/>
      <c r="Q139" s="15"/>
      <c r="R139" s="15"/>
      <c r="S139" s="15"/>
      <c r="T139" s="15"/>
      <c r="U139" s="229">
        <f t="shared" si="256"/>
        <v>0</v>
      </c>
      <c r="V139" s="16"/>
      <c r="W139" s="308"/>
      <c r="X139" s="88">
        <f t="shared" ref="X139:X146" si="259">$B139</f>
        <v>0</v>
      </c>
      <c r="Y139" s="89"/>
      <c r="Z139" s="15"/>
      <c r="AA139" s="15"/>
      <c r="AB139" s="15"/>
      <c r="AC139" s="15"/>
      <c r="AD139" s="15"/>
      <c r="AE139" s="15"/>
      <c r="AF139" s="229">
        <f t="shared" si="257"/>
        <v>0</v>
      </c>
    </row>
    <row r="140" spans="1:32" x14ac:dyDescent="0.2">
      <c r="A140" s="317"/>
      <c r="B140" s="221"/>
      <c r="C140" s="222"/>
      <c r="D140" s="15"/>
      <c r="E140" s="15"/>
      <c r="F140" s="15"/>
      <c r="G140" s="15"/>
      <c r="H140" s="15"/>
      <c r="I140" s="15"/>
      <c r="J140" s="229">
        <f t="shared" si="255"/>
        <v>0</v>
      </c>
      <c r="L140" s="308"/>
      <c r="M140" s="88">
        <f t="shared" si="258"/>
        <v>0</v>
      </c>
      <c r="N140" s="89"/>
      <c r="O140" s="15"/>
      <c r="P140" s="15"/>
      <c r="Q140" s="15"/>
      <c r="R140" s="15"/>
      <c r="S140" s="15"/>
      <c r="T140" s="15"/>
      <c r="U140" s="229">
        <f t="shared" si="256"/>
        <v>0</v>
      </c>
      <c r="V140" s="16"/>
      <c r="W140" s="308"/>
      <c r="X140" s="88">
        <f t="shared" si="259"/>
        <v>0</v>
      </c>
      <c r="Y140" s="89"/>
      <c r="Z140" s="15"/>
      <c r="AA140" s="15"/>
      <c r="AB140" s="15"/>
      <c r="AC140" s="15"/>
      <c r="AD140" s="15"/>
      <c r="AE140" s="15"/>
      <c r="AF140" s="229">
        <f t="shared" si="257"/>
        <v>0</v>
      </c>
    </row>
    <row r="141" spans="1:32" x14ac:dyDescent="0.2">
      <c r="A141" s="317"/>
      <c r="B141" s="221"/>
      <c r="C141" s="222"/>
      <c r="D141" s="15"/>
      <c r="E141" s="15"/>
      <c r="F141" s="15"/>
      <c r="G141" s="15"/>
      <c r="H141" s="15"/>
      <c r="I141" s="15"/>
      <c r="J141" s="229">
        <f t="shared" si="255"/>
        <v>0</v>
      </c>
      <c r="L141" s="308"/>
      <c r="M141" s="88">
        <f t="shared" si="258"/>
        <v>0</v>
      </c>
      <c r="N141" s="89"/>
      <c r="O141" s="15"/>
      <c r="P141" s="15"/>
      <c r="Q141" s="15"/>
      <c r="R141" s="15"/>
      <c r="S141" s="15"/>
      <c r="T141" s="15"/>
      <c r="U141" s="229">
        <f t="shared" si="256"/>
        <v>0</v>
      </c>
      <c r="V141" s="16"/>
      <c r="W141" s="308"/>
      <c r="X141" s="88">
        <f t="shared" si="259"/>
        <v>0</v>
      </c>
      <c r="Y141" s="89"/>
      <c r="Z141" s="15"/>
      <c r="AA141" s="15"/>
      <c r="AB141" s="15"/>
      <c r="AC141" s="15"/>
      <c r="AD141" s="15"/>
      <c r="AE141" s="15"/>
      <c r="AF141" s="229">
        <f t="shared" si="257"/>
        <v>0</v>
      </c>
    </row>
    <row r="142" spans="1:32" x14ac:dyDescent="0.2">
      <c r="A142" s="317"/>
      <c r="B142" s="221"/>
      <c r="C142" s="222"/>
      <c r="D142" s="15"/>
      <c r="E142" s="15"/>
      <c r="F142" s="15"/>
      <c r="G142" s="15"/>
      <c r="H142" s="15"/>
      <c r="I142" s="15"/>
      <c r="J142" s="229">
        <f t="shared" si="255"/>
        <v>0</v>
      </c>
      <c r="L142" s="308"/>
      <c r="M142" s="88">
        <f t="shared" si="258"/>
        <v>0</v>
      </c>
      <c r="N142" s="89"/>
      <c r="O142" s="15"/>
      <c r="P142" s="15"/>
      <c r="Q142" s="15"/>
      <c r="R142" s="15"/>
      <c r="S142" s="15"/>
      <c r="T142" s="15"/>
      <c r="U142" s="229">
        <f t="shared" si="256"/>
        <v>0</v>
      </c>
      <c r="V142" s="16"/>
      <c r="W142" s="308"/>
      <c r="X142" s="88">
        <f t="shared" si="259"/>
        <v>0</v>
      </c>
      <c r="Y142" s="89"/>
      <c r="Z142" s="15"/>
      <c r="AA142" s="15"/>
      <c r="AB142" s="15"/>
      <c r="AC142" s="15"/>
      <c r="AD142" s="15"/>
      <c r="AE142" s="15"/>
      <c r="AF142" s="229">
        <f t="shared" si="257"/>
        <v>0</v>
      </c>
    </row>
    <row r="143" spans="1:32" x14ac:dyDescent="0.2">
      <c r="A143" s="317"/>
      <c r="B143" s="221"/>
      <c r="C143" s="222"/>
      <c r="D143" s="15"/>
      <c r="E143" s="15"/>
      <c r="F143" s="15"/>
      <c r="G143" s="15"/>
      <c r="H143" s="15"/>
      <c r="I143" s="15"/>
      <c r="J143" s="229">
        <f t="shared" si="255"/>
        <v>0</v>
      </c>
      <c r="L143" s="308"/>
      <c r="M143" s="88">
        <f t="shared" si="258"/>
        <v>0</v>
      </c>
      <c r="N143" s="89"/>
      <c r="O143" s="15"/>
      <c r="P143" s="15"/>
      <c r="Q143" s="15"/>
      <c r="R143" s="15"/>
      <c r="S143" s="15"/>
      <c r="T143" s="15"/>
      <c r="U143" s="229">
        <f t="shared" si="256"/>
        <v>0</v>
      </c>
      <c r="V143" s="16"/>
      <c r="W143" s="308"/>
      <c r="X143" s="88">
        <f t="shared" si="259"/>
        <v>0</v>
      </c>
      <c r="Y143" s="89"/>
      <c r="Z143" s="15"/>
      <c r="AA143" s="15"/>
      <c r="AB143" s="15"/>
      <c r="AC143" s="15"/>
      <c r="AD143" s="15"/>
      <c r="AE143" s="15"/>
      <c r="AF143" s="229">
        <f t="shared" si="257"/>
        <v>0</v>
      </c>
    </row>
    <row r="144" spans="1:32" x14ac:dyDescent="0.2">
      <c r="A144" s="317"/>
      <c r="B144" s="280"/>
      <c r="C144" s="224"/>
      <c r="D144" s="15"/>
      <c r="E144" s="15"/>
      <c r="F144" s="15"/>
      <c r="G144" s="15"/>
      <c r="H144" s="15"/>
      <c r="I144" s="15"/>
      <c r="J144" s="229">
        <f t="shared" si="255"/>
        <v>0</v>
      </c>
      <c r="L144" s="308"/>
      <c r="M144" s="88">
        <f t="shared" si="258"/>
        <v>0</v>
      </c>
      <c r="N144" s="90"/>
      <c r="O144" s="15"/>
      <c r="P144" s="15"/>
      <c r="Q144" s="15"/>
      <c r="R144" s="15"/>
      <c r="S144" s="15"/>
      <c r="T144" s="15"/>
      <c r="U144" s="229">
        <f t="shared" si="256"/>
        <v>0</v>
      </c>
      <c r="V144" s="16"/>
      <c r="W144" s="308"/>
      <c r="X144" s="88">
        <f t="shared" si="259"/>
        <v>0</v>
      </c>
      <c r="Y144" s="90"/>
      <c r="Z144" s="15"/>
      <c r="AA144" s="15"/>
      <c r="AB144" s="15"/>
      <c r="AC144" s="15"/>
      <c r="AD144" s="15"/>
      <c r="AE144" s="15"/>
      <c r="AF144" s="229">
        <f t="shared" si="257"/>
        <v>0</v>
      </c>
    </row>
    <row r="145" spans="1:32" x14ac:dyDescent="0.2">
      <c r="A145" s="317"/>
      <c r="B145" s="223"/>
      <c r="C145" s="224"/>
      <c r="D145" s="15"/>
      <c r="E145" s="15"/>
      <c r="F145" s="15"/>
      <c r="G145" s="15"/>
      <c r="H145" s="15"/>
      <c r="I145" s="15"/>
      <c r="J145" s="229">
        <f t="shared" si="255"/>
        <v>0</v>
      </c>
      <c r="L145" s="308"/>
      <c r="M145" s="88">
        <f t="shared" si="258"/>
        <v>0</v>
      </c>
      <c r="N145" s="90"/>
      <c r="O145" s="15"/>
      <c r="P145" s="15"/>
      <c r="Q145" s="15"/>
      <c r="R145" s="15"/>
      <c r="S145" s="15"/>
      <c r="T145" s="15"/>
      <c r="U145" s="229">
        <f t="shared" si="256"/>
        <v>0</v>
      </c>
      <c r="V145" s="16"/>
      <c r="W145" s="308"/>
      <c r="X145" s="88">
        <f t="shared" si="259"/>
        <v>0</v>
      </c>
      <c r="Y145" s="90"/>
      <c r="Z145" s="15"/>
      <c r="AA145" s="15"/>
      <c r="AB145" s="15"/>
      <c r="AC145" s="15"/>
      <c r="AD145" s="15"/>
      <c r="AE145" s="15"/>
      <c r="AF145" s="229">
        <f t="shared" si="257"/>
        <v>0</v>
      </c>
    </row>
    <row r="146" spans="1:32" ht="16" thickBot="1" x14ac:dyDescent="0.25">
      <c r="A146" s="317"/>
      <c r="B146" s="231"/>
      <c r="C146" s="232"/>
      <c r="D146" s="15"/>
      <c r="E146" s="15"/>
      <c r="F146" s="15"/>
      <c r="G146" s="15"/>
      <c r="H146" s="15"/>
      <c r="I146" s="15"/>
      <c r="J146" s="230">
        <f t="shared" si="255"/>
        <v>0</v>
      </c>
      <c r="L146" s="308"/>
      <c r="M146" s="91">
        <f t="shared" si="258"/>
        <v>0</v>
      </c>
      <c r="N146" s="90"/>
      <c r="O146" s="15"/>
      <c r="P146" s="15"/>
      <c r="Q146" s="15"/>
      <c r="R146" s="15"/>
      <c r="S146" s="15"/>
      <c r="T146" s="15"/>
      <c r="U146" s="230">
        <f t="shared" si="256"/>
        <v>0</v>
      </c>
      <c r="V146" s="16"/>
      <c r="W146" s="308"/>
      <c r="X146" s="91">
        <f t="shared" si="259"/>
        <v>0</v>
      </c>
      <c r="Y146" s="90"/>
      <c r="Z146" s="15"/>
      <c r="AA146" s="15"/>
      <c r="AB146" s="15"/>
      <c r="AC146" s="15"/>
      <c r="AD146" s="15"/>
      <c r="AE146" s="15"/>
      <c r="AF146" s="230">
        <f t="shared" si="257"/>
        <v>0</v>
      </c>
    </row>
    <row r="147" spans="1:32" ht="16" thickBot="1" x14ac:dyDescent="0.25">
      <c r="A147" s="308"/>
      <c r="B147" s="320" t="s">
        <v>30</v>
      </c>
      <c r="C147" s="321"/>
      <c r="D147" s="38"/>
      <c r="E147" s="38"/>
      <c r="F147" s="38"/>
      <c r="G147" s="38"/>
      <c r="H147" s="38"/>
      <c r="I147" s="38"/>
      <c r="J147" s="47">
        <f>SUM(J148:J150)</f>
        <v>0</v>
      </c>
      <c r="L147" s="308"/>
      <c r="M147" s="311" t="s">
        <v>30</v>
      </c>
      <c r="N147" s="312"/>
      <c r="O147" s="38"/>
      <c r="P147" s="38"/>
      <c r="Q147" s="38"/>
      <c r="R147" s="38"/>
      <c r="S147" s="38"/>
      <c r="T147" s="38"/>
      <c r="U147" s="16">
        <f>SUM(U148:U150)</f>
        <v>0</v>
      </c>
      <c r="V147" s="16"/>
      <c r="W147" s="308"/>
      <c r="X147" s="311" t="s">
        <v>30</v>
      </c>
      <c r="Y147" s="312"/>
      <c r="Z147" s="38"/>
      <c r="AA147" s="38"/>
      <c r="AB147" s="38"/>
      <c r="AC147" s="38"/>
      <c r="AD147" s="38"/>
      <c r="AE147" s="38"/>
      <c r="AF147" s="16">
        <f>SUM(AF148:AF150)</f>
        <v>0</v>
      </c>
    </row>
    <row r="148" spans="1:32" x14ac:dyDescent="0.2">
      <c r="A148" s="317"/>
      <c r="B148" s="281"/>
      <c r="C148" s="233"/>
      <c r="D148" s="15"/>
      <c r="E148" s="15"/>
      <c r="F148" s="15"/>
      <c r="G148" s="15"/>
      <c r="H148" s="15"/>
      <c r="I148" s="15"/>
      <c r="J148" s="228">
        <f t="shared" ref="J148:J149" si="260">SUM(D148:I148)</f>
        <v>0</v>
      </c>
      <c r="L148" s="308"/>
      <c r="M148" s="92">
        <f>$B148</f>
        <v>0</v>
      </c>
      <c r="N148" s="90"/>
      <c r="O148" s="15"/>
      <c r="P148" s="15"/>
      <c r="Q148" s="15"/>
      <c r="R148" s="15"/>
      <c r="S148" s="15"/>
      <c r="T148" s="15"/>
      <c r="U148" s="228">
        <f t="shared" ref="U148:U149" si="261">SUM(O148:T148)</f>
        <v>0</v>
      </c>
      <c r="V148" s="16"/>
      <c r="W148" s="308"/>
      <c r="X148" s="92">
        <f>$B148</f>
        <v>0</v>
      </c>
      <c r="Y148" s="90"/>
      <c r="Z148" s="15"/>
      <c r="AA148" s="15"/>
      <c r="AB148" s="15"/>
      <c r="AC148" s="15"/>
      <c r="AD148" s="15"/>
      <c r="AE148" s="15"/>
      <c r="AF148" s="228">
        <f t="shared" ref="AF148:AF149" si="262">SUM(Z148:AE148)</f>
        <v>0</v>
      </c>
    </row>
    <row r="149" spans="1:32" x14ac:dyDescent="0.2">
      <c r="A149" s="317"/>
      <c r="B149" s="223"/>
      <c r="C149" s="224"/>
      <c r="D149" s="15"/>
      <c r="E149" s="15"/>
      <c r="F149" s="15"/>
      <c r="G149" s="15"/>
      <c r="H149" s="15"/>
      <c r="I149" s="15"/>
      <c r="J149" s="229">
        <f t="shared" si="260"/>
        <v>0</v>
      </c>
      <c r="L149" s="308"/>
      <c r="M149" s="92">
        <f t="shared" ref="M149:M150" si="263">$B149</f>
        <v>0</v>
      </c>
      <c r="N149" s="90"/>
      <c r="O149" s="15"/>
      <c r="P149" s="15"/>
      <c r="Q149" s="15"/>
      <c r="R149" s="15"/>
      <c r="S149" s="15"/>
      <c r="T149" s="15"/>
      <c r="U149" s="229">
        <f t="shared" si="261"/>
        <v>0</v>
      </c>
      <c r="V149" s="16"/>
      <c r="W149" s="308"/>
      <c r="X149" s="92">
        <f t="shared" ref="X149:X150" si="264">$B149</f>
        <v>0</v>
      </c>
      <c r="Y149" s="90"/>
      <c r="Z149" s="15"/>
      <c r="AA149" s="15"/>
      <c r="AB149" s="15"/>
      <c r="AC149" s="15"/>
      <c r="AD149" s="15"/>
      <c r="AE149" s="15"/>
      <c r="AF149" s="229">
        <f t="shared" si="262"/>
        <v>0</v>
      </c>
    </row>
    <row r="150" spans="1:32" ht="16" thickBot="1" x14ac:dyDescent="0.25">
      <c r="A150" s="317"/>
      <c r="B150" s="225"/>
      <c r="C150" s="226"/>
      <c r="D150" s="15"/>
      <c r="E150" s="15"/>
      <c r="F150" s="15"/>
      <c r="G150" s="15"/>
      <c r="H150" s="15"/>
      <c r="I150" s="15"/>
      <c r="J150" s="230">
        <f>SUM(D150:I150)</f>
        <v>0</v>
      </c>
      <c r="L150" s="308"/>
      <c r="M150" s="92">
        <f t="shared" si="263"/>
        <v>0</v>
      </c>
      <c r="N150" s="93"/>
      <c r="O150" s="15"/>
      <c r="P150" s="15"/>
      <c r="Q150" s="15"/>
      <c r="R150" s="15"/>
      <c r="S150" s="15"/>
      <c r="T150" s="15"/>
      <c r="U150" s="230">
        <f>SUM(O150:T150)</f>
        <v>0</v>
      </c>
      <c r="V150" s="16"/>
      <c r="W150" s="308"/>
      <c r="X150" s="92">
        <f t="shared" si="264"/>
        <v>0</v>
      </c>
      <c r="Y150" s="93"/>
      <c r="Z150" s="15"/>
      <c r="AA150" s="15"/>
      <c r="AB150" s="15"/>
      <c r="AC150" s="15"/>
      <c r="AD150" s="15"/>
      <c r="AE150" s="15"/>
      <c r="AF150" s="230">
        <f>SUM(Z150:AE150)</f>
        <v>0</v>
      </c>
    </row>
    <row r="151" spans="1:32" ht="16" thickBot="1" x14ac:dyDescent="0.25">
      <c r="A151" s="308"/>
      <c r="B151" s="218" t="str">
        <f>IF(B136="Personnel - man months","Total man months","Total man hours")</f>
        <v>Total man months</v>
      </c>
      <c r="C151" s="218"/>
      <c r="D151" s="18">
        <f t="shared" ref="D151:I151" si="265">SUM(D137:D150)</f>
        <v>0</v>
      </c>
      <c r="E151" s="18">
        <f t="shared" si="265"/>
        <v>0</v>
      </c>
      <c r="F151" s="18">
        <f t="shared" si="265"/>
        <v>0</v>
      </c>
      <c r="G151" s="18">
        <f t="shared" si="265"/>
        <v>0</v>
      </c>
      <c r="H151" s="18">
        <f t="shared" si="265"/>
        <v>0</v>
      </c>
      <c r="I151" s="18">
        <f t="shared" si="265"/>
        <v>0</v>
      </c>
      <c r="J151" s="227">
        <f>SUM(D151:I151)</f>
        <v>0</v>
      </c>
      <c r="L151" s="308"/>
      <c r="M151" s="17" t="str">
        <f>IF(M136="Personnel - man months","Total man months","Total man hours")</f>
        <v>Total man months</v>
      </c>
      <c r="N151" s="17"/>
      <c r="O151" s="18">
        <f t="shared" ref="O151:T151" si="266">SUM(O137:O150)</f>
        <v>0</v>
      </c>
      <c r="P151" s="18">
        <f t="shared" si="266"/>
        <v>0</v>
      </c>
      <c r="Q151" s="18">
        <f t="shared" si="266"/>
        <v>0</v>
      </c>
      <c r="R151" s="18">
        <f t="shared" si="266"/>
        <v>0</v>
      </c>
      <c r="S151" s="18">
        <f t="shared" si="266"/>
        <v>0</v>
      </c>
      <c r="T151" s="18">
        <f t="shared" si="266"/>
        <v>0</v>
      </c>
      <c r="U151" s="241">
        <f>SUM(O151:T151)</f>
        <v>0</v>
      </c>
      <c r="V151" s="16"/>
      <c r="W151" s="308"/>
      <c r="X151" s="17" t="str">
        <f>IF(X136="Personnel - man months","Total man months","Total man hours")</f>
        <v>Total man months</v>
      </c>
      <c r="Y151" s="17"/>
      <c r="Z151" s="18">
        <f t="shared" ref="Z151:AE151" si="267">SUM(Z137:Z150)</f>
        <v>0</v>
      </c>
      <c r="AA151" s="18">
        <f t="shared" si="267"/>
        <v>0</v>
      </c>
      <c r="AB151" s="18">
        <f t="shared" si="267"/>
        <v>0</v>
      </c>
      <c r="AC151" s="18">
        <f t="shared" si="267"/>
        <v>0</v>
      </c>
      <c r="AD151" s="18">
        <f t="shared" si="267"/>
        <v>0</v>
      </c>
      <c r="AE151" s="18">
        <f t="shared" si="267"/>
        <v>0</v>
      </c>
      <c r="AF151" s="241">
        <f>SUM(Z151:AE151)</f>
        <v>0</v>
      </c>
    </row>
    <row r="152" spans="1:32" x14ac:dyDescent="0.2">
      <c r="A152" s="308"/>
      <c r="B152" s="37" t="s">
        <v>10</v>
      </c>
      <c r="C152" s="213" t="str">
        <f>IF(B136="Personnel - man months","Monthly salary (2018)","Hourly rate (2017)")</f>
        <v>Monthly salary (2018)</v>
      </c>
      <c r="D152" s="13">
        <f t="shared" ref="D152:I152" si="268">+D136</f>
        <v>2019</v>
      </c>
      <c r="E152" s="13">
        <f t="shared" si="268"/>
        <v>2020</v>
      </c>
      <c r="F152" s="13">
        <f t="shared" si="268"/>
        <v>2021</v>
      </c>
      <c r="G152" s="13">
        <f t="shared" si="268"/>
        <v>2022</v>
      </c>
      <c r="H152" s="13">
        <f t="shared" si="268"/>
        <v>2023</v>
      </c>
      <c r="I152" s="13">
        <f t="shared" si="268"/>
        <v>2024</v>
      </c>
      <c r="J152" s="46" t="s">
        <v>11</v>
      </c>
      <c r="L152" s="308"/>
      <c r="M152" s="37" t="s">
        <v>10</v>
      </c>
      <c r="N152" s="213" t="str">
        <f>IF(M136="Personnel - man months","Monthly salary (2018)","Hourly rate (2017)")</f>
        <v>Monthly salary (2018)</v>
      </c>
      <c r="O152" s="13">
        <f t="shared" ref="O152:T152" si="269">+O136</f>
        <v>2019</v>
      </c>
      <c r="P152" s="13">
        <f t="shared" si="269"/>
        <v>2020</v>
      </c>
      <c r="Q152" s="13">
        <f t="shared" si="269"/>
        <v>2021</v>
      </c>
      <c r="R152" s="13">
        <f t="shared" si="269"/>
        <v>2022</v>
      </c>
      <c r="S152" s="13">
        <f t="shared" si="269"/>
        <v>2023</v>
      </c>
      <c r="T152" s="13">
        <f t="shared" si="269"/>
        <v>2024</v>
      </c>
      <c r="U152" s="13" t="s">
        <v>11</v>
      </c>
      <c r="V152" s="14"/>
      <c r="W152" s="308"/>
      <c r="X152" s="37" t="s">
        <v>10</v>
      </c>
      <c r="Y152" s="213" t="str">
        <f>IF(X136="Personnel - man months","Monthly salary (2018)","Hourly rate (2017)")</f>
        <v>Monthly salary (2018)</v>
      </c>
      <c r="Z152" s="13">
        <f t="shared" ref="Z152:AE152" si="270">+Z136</f>
        <v>2019</v>
      </c>
      <c r="AA152" s="13">
        <f t="shared" si="270"/>
        <v>2020</v>
      </c>
      <c r="AB152" s="13">
        <f t="shared" si="270"/>
        <v>2021</v>
      </c>
      <c r="AC152" s="13">
        <f t="shared" si="270"/>
        <v>2022</v>
      </c>
      <c r="AD152" s="13">
        <f t="shared" si="270"/>
        <v>2023</v>
      </c>
      <c r="AE152" s="13">
        <f t="shared" si="270"/>
        <v>2024</v>
      </c>
      <c r="AF152" s="13" t="s">
        <v>11</v>
      </c>
    </row>
    <row r="153" spans="1:32" ht="16" thickBot="1" x14ac:dyDescent="0.25">
      <c r="A153" s="308"/>
      <c r="B153" s="311" t="s">
        <v>29</v>
      </c>
      <c r="C153" s="312"/>
      <c r="D153" s="242">
        <f>SUM(D154:D162)</f>
        <v>0</v>
      </c>
      <c r="E153" s="242">
        <f t="shared" ref="E153" si="271">SUM(E154:E162)</f>
        <v>0</v>
      </c>
      <c r="F153" s="242">
        <f t="shared" ref="F153" si="272">SUM(F154:F162)</f>
        <v>0</v>
      </c>
      <c r="G153" s="242">
        <f t="shared" ref="G153" si="273">SUM(G154:G162)</f>
        <v>0</v>
      </c>
      <c r="H153" s="242">
        <f t="shared" ref="H153" si="274">SUM(H154:H162)</f>
        <v>0</v>
      </c>
      <c r="I153" s="242">
        <f t="shared" ref="I153" si="275">SUM(I154:I162)</f>
        <v>0</v>
      </c>
      <c r="J153" s="49">
        <f>SUM(J154:J162)</f>
        <v>0</v>
      </c>
      <c r="K153" s="23"/>
      <c r="L153" s="308"/>
      <c r="M153" s="311" t="s">
        <v>29</v>
      </c>
      <c r="N153" s="312"/>
      <c r="O153" s="41">
        <f>SUM(O154:O162)</f>
        <v>0</v>
      </c>
      <c r="P153" s="41">
        <f t="shared" ref="P153" si="276">SUM(P154:P162)</f>
        <v>0</v>
      </c>
      <c r="Q153" s="41">
        <f t="shared" ref="Q153" si="277">SUM(Q154:Q162)</f>
        <v>0</v>
      </c>
      <c r="R153" s="41">
        <f t="shared" ref="R153" si="278">SUM(R154:R162)</f>
        <v>0</v>
      </c>
      <c r="S153" s="41">
        <f t="shared" ref="S153" si="279">SUM(S154:S162)</f>
        <v>0</v>
      </c>
      <c r="T153" s="41">
        <f t="shared" ref="T153" si="280">SUM(T154:T162)</f>
        <v>0</v>
      </c>
      <c r="U153" s="236">
        <f>SUM(U154:U162)</f>
        <v>0</v>
      </c>
      <c r="V153" s="22"/>
      <c r="W153" s="308"/>
      <c r="X153" s="311" t="s">
        <v>29</v>
      </c>
      <c r="Y153" s="312"/>
      <c r="Z153" s="41">
        <f>SUM(Z154:Z162)</f>
        <v>0</v>
      </c>
      <c r="AA153" s="41">
        <f t="shared" ref="AA153" si="281">SUM(AA154:AA162)</f>
        <v>0</v>
      </c>
      <c r="AB153" s="41">
        <f t="shared" ref="AB153" si="282">SUM(AB154:AB162)</f>
        <v>0</v>
      </c>
      <c r="AC153" s="41">
        <f t="shared" ref="AC153" si="283">SUM(AC154:AC162)</f>
        <v>0</v>
      </c>
      <c r="AD153" s="41">
        <f t="shared" ref="AD153" si="284">SUM(AD154:AD162)</f>
        <v>0</v>
      </c>
      <c r="AE153" s="41">
        <f t="shared" ref="AE153" si="285">SUM(AE154:AE162)</f>
        <v>0</v>
      </c>
      <c r="AF153" s="236">
        <f>SUM(AF154:AF162)</f>
        <v>0</v>
      </c>
    </row>
    <row r="154" spans="1:32" x14ac:dyDescent="0.2">
      <c r="A154" s="308"/>
      <c r="B154" s="20">
        <f>B138</f>
        <v>0</v>
      </c>
      <c r="C154" s="21"/>
      <c r="D154" s="244">
        <f>($C154*(1+$C$167))*D138</f>
        <v>0</v>
      </c>
      <c r="E154" s="245">
        <f>($C154*(1+$C$167)^2)*E138</f>
        <v>0</v>
      </c>
      <c r="F154" s="245">
        <f>($C154*(1+$C$167)^3)*F138</f>
        <v>0</v>
      </c>
      <c r="G154" s="245">
        <f>($C154*(1+$C$167)^4)*G138</f>
        <v>0</v>
      </c>
      <c r="H154" s="245">
        <f>($C154*(1+$C$167)^5)*H138</f>
        <v>0</v>
      </c>
      <c r="I154" s="246">
        <f>($C154*(1+$C$167)^6)*I138</f>
        <v>0</v>
      </c>
      <c r="J154" s="50">
        <f t="shared" ref="J154:J162" si="286">SUM(D154:I154)</f>
        <v>0</v>
      </c>
      <c r="K154" s="23"/>
      <c r="L154" s="308"/>
      <c r="M154" s="20">
        <f>M138</f>
        <v>0</v>
      </c>
      <c r="N154" s="21"/>
      <c r="O154" s="22">
        <f>($N154*(1+$N$167))*O138</f>
        <v>0</v>
      </c>
      <c r="P154" s="22">
        <f>($N154*(1+$N$167)^2)*P138</f>
        <v>0</v>
      </c>
      <c r="Q154" s="22">
        <f>($N154*(1+$N$167)^3)*Q138</f>
        <v>0</v>
      </c>
      <c r="R154" s="22">
        <f>($N154*(1+$N$167)^4)*R138</f>
        <v>0</v>
      </c>
      <c r="S154" s="22">
        <f>($N154*(1+$N$167)^5)*S138</f>
        <v>0</v>
      </c>
      <c r="T154" s="22">
        <f>($N154*(1+$N$167)^6)*T138</f>
        <v>0</v>
      </c>
      <c r="U154" s="237">
        <f t="shared" ref="U154:U162" si="287">SUM(O154:T154)</f>
        <v>0</v>
      </c>
      <c r="V154" s="22"/>
      <c r="W154" s="308"/>
      <c r="X154" s="20">
        <f>X138</f>
        <v>0</v>
      </c>
      <c r="Y154" s="21"/>
      <c r="Z154" s="22">
        <f>($Y154*(1+$Y$167))*Z138</f>
        <v>0</v>
      </c>
      <c r="AA154" s="22">
        <f>($Y154*(1+$Y$167)^2)*AA138</f>
        <v>0</v>
      </c>
      <c r="AB154" s="22">
        <f>($Y154*(1+$Y$167)^3)*AB138</f>
        <v>0</v>
      </c>
      <c r="AC154" s="22">
        <f>($Y154*(1+$Y$167)^4)*AC138</f>
        <v>0</v>
      </c>
      <c r="AD154" s="22">
        <f>($Y154*(1+$Y$167)^5)*AD138</f>
        <v>0</v>
      </c>
      <c r="AE154" s="22">
        <f>($Y154*(1+$Y$167)^6)*AE138</f>
        <v>0</v>
      </c>
      <c r="AF154" s="237">
        <f t="shared" ref="AF154:AF162" si="288">SUM(Z154:AE154)</f>
        <v>0</v>
      </c>
    </row>
    <row r="155" spans="1:32" x14ac:dyDescent="0.2">
      <c r="A155" s="308"/>
      <c r="B155" s="20">
        <f>B139</f>
        <v>0</v>
      </c>
      <c r="C155" s="21"/>
      <c r="D155" s="247">
        <f t="shared" ref="D155:D162" si="289">($C155*(1+$C$167))*D139</f>
        <v>0</v>
      </c>
      <c r="E155" s="22">
        <f t="shared" ref="E155:E162" si="290">($C155*(1+$C$167)^2)*E139</f>
        <v>0</v>
      </c>
      <c r="F155" s="22">
        <f t="shared" ref="F155:F162" si="291">($C155*(1+$C$167)^3)*F139</f>
        <v>0</v>
      </c>
      <c r="G155" s="22">
        <f t="shared" ref="G155:G162" si="292">($C155*(1+$C$167)^4)*G139</f>
        <v>0</v>
      </c>
      <c r="H155" s="22">
        <f t="shared" ref="H155:H162" si="293">($C155*(1+$C$167)^5)*H139</f>
        <v>0</v>
      </c>
      <c r="I155" s="248">
        <f t="shared" ref="I155:I162" si="294">($C155*(1+$C$167)^6)*I139</f>
        <v>0</v>
      </c>
      <c r="J155" s="50">
        <f t="shared" si="286"/>
        <v>0</v>
      </c>
      <c r="K155" s="23"/>
      <c r="L155" s="308"/>
      <c r="M155" s="20">
        <f>M139</f>
        <v>0</v>
      </c>
      <c r="N155" s="21"/>
      <c r="O155" s="22">
        <f t="shared" ref="O155:O162" si="295">($N155*(1+$N$167))*O139</f>
        <v>0</v>
      </c>
      <c r="P155" s="22">
        <f t="shared" ref="P155:P162" si="296">($N155*(1+$N$167)^2)*P139</f>
        <v>0</v>
      </c>
      <c r="Q155" s="22">
        <f t="shared" ref="Q155:Q162" si="297">($N155*(1+$N$167)^3)*Q139</f>
        <v>0</v>
      </c>
      <c r="R155" s="22">
        <f t="shared" ref="R155:R162" si="298">($N155*(1+$N$167)^4)*R139</f>
        <v>0</v>
      </c>
      <c r="S155" s="22">
        <f t="shared" ref="S155:S162" si="299">($N155*(1+$N$167)^5)*S139</f>
        <v>0</v>
      </c>
      <c r="T155" s="22">
        <f t="shared" ref="T155:T162" si="300">($N155*(1+$N$167)^6)*T139</f>
        <v>0</v>
      </c>
      <c r="U155" s="238">
        <f t="shared" si="287"/>
        <v>0</v>
      </c>
      <c r="V155" s="22"/>
      <c r="W155" s="308"/>
      <c r="X155" s="20">
        <f>X139</f>
        <v>0</v>
      </c>
      <c r="Y155" s="21"/>
      <c r="Z155" s="22">
        <f t="shared" ref="Z155:Z162" si="301">($Y155*(1+$Y$167))*Z139</f>
        <v>0</v>
      </c>
      <c r="AA155" s="22">
        <f t="shared" ref="AA155:AA162" si="302">($Y155*(1+$Y$167)^2)*AA139</f>
        <v>0</v>
      </c>
      <c r="AB155" s="22">
        <f t="shared" ref="AB155:AB162" si="303">($Y155*(1+$Y$167)^3)*AB139</f>
        <v>0</v>
      </c>
      <c r="AC155" s="22">
        <f t="shared" ref="AC155:AC162" si="304">($Y155*(1+$Y$167)^4)*AC139</f>
        <v>0</v>
      </c>
      <c r="AD155" s="22">
        <f t="shared" ref="AD155:AD162" si="305">($Y155*(1+$Y$167)^5)*AD139</f>
        <v>0</v>
      </c>
      <c r="AE155" s="22">
        <f t="shared" ref="AE155:AE162" si="306">($Y155*(1+$Y$167)^6)*AE139</f>
        <v>0</v>
      </c>
      <c r="AF155" s="238">
        <f t="shared" si="288"/>
        <v>0</v>
      </c>
    </row>
    <row r="156" spans="1:32" x14ac:dyDescent="0.2">
      <c r="A156" s="308"/>
      <c r="B156" s="20">
        <f>B140</f>
        <v>0</v>
      </c>
      <c r="C156" s="21"/>
      <c r="D156" s="247">
        <f t="shared" si="289"/>
        <v>0</v>
      </c>
      <c r="E156" s="22">
        <f t="shared" si="290"/>
        <v>0</v>
      </c>
      <c r="F156" s="22">
        <f t="shared" si="291"/>
        <v>0</v>
      </c>
      <c r="G156" s="22">
        <f t="shared" si="292"/>
        <v>0</v>
      </c>
      <c r="H156" s="22">
        <f t="shared" si="293"/>
        <v>0</v>
      </c>
      <c r="I156" s="248">
        <f t="shared" si="294"/>
        <v>0</v>
      </c>
      <c r="J156" s="50">
        <f t="shared" si="286"/>
        <v>0</v>
      </c>
      <c r="K156" s="23"/>
      <c r="L156" s="308"/>
      <c r="M156" s="20">
        <f>M140</f>
        <v>0</v>
      </c>
      <c r="N156" s="21"/>
      <c r="O156" s="22">
        <f t="shared" si="295"/>
        <v>0</v>
      </c>
      <c r="P156" s="22">
        <f t="shared" si="296"/>
        <v>0</v>
      </c>
      <c r="Q156" s="22">
        <f t="shared" si="297"/>
        <v>0</v>
      </c>
      <c r="R156" s="22">
        <f t="shared" si="298"/>
        <v>0</v>
      </c>
      <c r="S156" s="22">
        <f t="shared" si="299"/>
        <v>0</v>
      </c>
      <c r="T156" s="22">
        <f t="shared" si="300"/>
        <v>0</v>
      </c>
      <c r="U156" s="238">
        <f t="shared" si="287"/>
        <v>0</v>
      </c>
      <c r="V156" s="22"/>
      <c r="W156" s="308"/>
      <c r="X156" s="20">
        <f>X140</f>
        <v>0</v>
      </c>
      <c r="Y156" s="21"/>
      <c r="Z156" s="22">
        <f t="shared" si="301"/>
        <v>0</v>
      </c>
      <c r="AA156" s="22">
        <f t="shared" si="302"/>
        <v>0</v>
      </c>
      <c r="AB156" s="22">
        <f t="shared" si="303"/>
        <v>0</v>
      </c>
      <c r="AC156" s="22">
        <f t="shared" si="304"/>
        <v>0</v>
      </c>
      <c r="AD156" s="22">
        <f t="shared" si="305"/>
        <v>0</v>
      </c>
      <c r="AE156" s="22">
        <f t="shared" si="306"/>
        <v>0</v>
      </c>
      <c r="AF156" s="238">
        <f t="shared" si="288"/>
        <v>0</v>
      </c>
    </row>
    <row r="157" spans="1:32" x14ac:dyDescent="0.2">
      <c r="A157" s="308"/>
      <c r="B157" s="20">
        <f t="shared" ref="B157:B162" si="307">B141</f>
        <v>0</v>
      </c>
      <c r="C157" s="21"/>
      <c r="D157" s="247">
        <f t="shared" si="289"/>
        <v>0</v>
      </c>
      <c r="E157" s="22">
        <f t="shared" si="290"/>
        <v>0</v>
      </c>
      <c r="F157" s="22">
        <f t="shared" si="291"/>
        <v>0</v>
      </c>
      <c r="G157" s="22">
        <f t="shared" si="292"/>
        <v>0</v>
      </c>
      <c r="H157" s="22">
        <f t="shared" si="293"/>
        <v>0</v>
      </c>
      <c r="I157" s="248">
        <f t="shared" si="294"/>
        <v>0</v>
      </c>
      <c r="J157" s="50">
        <f t="shared" si="286"/>
        <v>0</v>
      </c>
      <c r="K157" s="23"/>
      <c r="L157" s="308"/>
      <c r="M157" s="20">
        <f t="shared" ref="M157:M162" si="308">M141</f>
        <v>0</v>
      </c>
      <c r="N157" s="21"/>
      <c r="O157" s="22">
        <f t="shared" si="295"/>
        <v>0</v>
      </c>
      <c r="P157" s="22">
        <f t="shared" si="296"/>
        <v>0</v>
      </c>
      <c r="Q157" s="22">
        <f t="shared" si="297"/>
        <v>0</v>
      </c>
      <c r="R157" s="22">
        <f t="shared" si="298"/>
        <v>0</v>
      </c>
      <c r="S157" s="22">
        <f t="shared" si="299"/>
        <v>0</v>
      </c>
      <c r="T157" s="22">
        <f t="shared" si="300"/>
        <v>0</v>
      </c>
      <c r="U157" s="238">
        <f t="shared" si="287"/>
        <v>0</v>
      </c>
      <c r="V157" s="22"/>
      <c r="W157" s="308"/>
      <c r="X157" s="20">
        <f t="shared" ref="X157:X162" si="309">X141</f>
        <v>0</v>
      </c>
      <c r="Y157" s="21"/>
      <c r="Z157" s="22">
        <f t="shared" si="301"/>
        <v>0</v>
      </c>
      <c r="AA157" s="22">
        <f t="shared" si="302"/>
        <v>0</v>
      </c>
      <c r="AB157" s="22">
        <f t="shared" si="303"/>
        <v>0</v>
      </c>
      <c r="AC157" s="22">
        <f t="shared" si="304"/>
        <v>0</v>
      </c>
      <c r="AD157" s="22">
        <f t="shared" si="305"/>
        <v>0</v>
      </c>
      <c r="AE157" s="22">
        <f t="shared" si="306"/>
        <v>0</v>
      </c>
      <c r="AF157" s="238">
        <f t="shared" si="288"/>
        <v>0</v>
      </c>
    </row>
    <row r="158" spans="1:32" x14ac:dyDescent="0.2">
      <c r="A158" s="308"/>
      <c r="B158" s="20">
        <f t="shared" si="307"/>
        <v>0</v>
      </c>
      <c r="C158" s="21"/>
      <c r="D158" s="247">
        <f t="shared" si="289"/>
        <v>0</v>
      </c>
      <c r="E158" s="22">
        <f t="shared" si="290"/>
        <v>0</v>
      </c>
      <c r="F158" s="22">
        <f t="shared" si="291"/>
        <v>0</v>
      </c>
      <c r="G158" s="22">
        <f t="shared" si="292"/>
        <v>0</v>
      </c>
      <c r="H158" s="22">
        <f t="shared" si="293"/>
        <v>0</v>
      </c>
      <c r="I158" s="248">
        <f t="shared" si="294"/>
        <v>0</v>
      </c>
      <c r="J158" s="50">
        <f t="shared" si="286"/>
        <v>0</v>
      </c>
      <c r="K158" s="23"/>
      <c r="L158" s="308"/>
      <c r="M158" s="20">
        <f t="shared" si="308"/>
        <v>0</v>
      </c>
      <c r="N158" s="21"/>
      <c r="O158" s="22">
        <f t="shared" si="295"/>
        <v>0</v>
      </c>
      <c r="P158" s="22">
        <f t="shared" si="296"/>
        <v>0</v>
      </c>
      <c r="Q158" s="22">
        <f t="shared" si="297"/>
        <v>0</v>
      </c>
      <c r="R158" s="22">
        <f t="shared" si="298"/>
        <v>0</v>
      </c>
      <c r="S158" s="22">
        <f t="shared" si="299"/>
        <v>0</v>
      </c>
      <c r="T158" s="22">
        <f t="shared" si="300"/>
        <v>0</v>
      </c>
      <c r="U158" s="238">
        <f t="shared" si="287"/>
        <v>0</v>
      </c>
      <c r="V158" s="22"/>
      <c r="W158" s="308"/>
      <c r="X158" s="20">
        <f t="shared" si="309"/>
        <v>0</v>
      </c>
      <c r="Y158" s="21"/>
      <c r="Z158" s="22">
        <f t="shared" si="301"/>
        <v>0</v>
      </c>
      <c r="AA158" s="22">
        <f t="shared" si="302"/>
        <v>0</v>
      </c>
      <c r="AB158" s="22">
        <f t="shared" si="303"/>
        <v>0</v>
      </c>
      <c r="AC158" s="22">
        <f t="shared" si="304"/>
        <v>0</v>
      </c>
      <c r="AD158" s="22">
        <f t="shared" si="305"/>
        <v>0</v>
      </c>
      <c r="AE158" s="22">
        <f t="shared" si="306"/>
        <v>0</v>
      </c>
      <c r="AF158" s="238">
        <f t="shared" si="288"/>
        <v>0</v>
      </c>
    </row>
    <row r="159" spans="1:32" x14ac:dyDescent="0.2">
      <c r="A159" s="308"/>
      <c r="B159" s="20">
        <f t="shared" si="307"/>
        <v>0</v>
      </c>
      <c r="C159" s="21"/>
      <c r="D159" s="247">
        <f t="shared" si="289"/>
        <v>0</v>
      </c>
      <c r="E159" s="22">
        <f t="shared" si="290"/>
        <v>0</v>
      </c>
      <c r="F159" s="22">
        <f t="shared" si="291"/>
        <v>0</v>
      </c>
      <c r="G159" s="22">
        <f t="shared" si="292"/>
        <v>0</v>
      </c>
      <c r="H159" s="22">
        <f t="shared" si="293"/>
        <v>0</v>
      </c>
      <c r="I159" s="248">
        <f t="shared" si="294"/>
        <v>0</v>
      </c>
      <c r="J159" s="50">
        <f t="shared" si="286"/>
        <v>0</v>
      </c>
      <c r="K159" s="23"/>
      <c r="L159" s="308"/>
      <c r="M159" s="20">
        <f t="shared" si="308"/>
        <v>0</v>
      </c>
      <c r="N159" s="21"/>
      <c r="O159" s="22">
        <f t="shared" si="295"/>
        <v>0</v>
      </c>
      <c r="P159" s="22">
        <f t="shared" si="296"/>
        <v>0</v>
      </c>
      <c r="Q159" s="22">
        <f t="shared" si="297"/>
        <v>0</v>
      </c>
      <c r="R159" s="22">
        <f t="shared" si="298"/>
        <v>0</v>
      </c>
      <c r="S159" s="22">
        <f t="shared" si="299"/>
        <v>0</v>
      </c>
      <c r="T159" s="22">
        <f t="shared" si="300"/>
        <v>0</v>
      </c>
      <c r="U159" s="238">
        <f t="shared" si="287"/>
        <v>0</v>
      </c>
      <c r="V159" s="22"/>
      <c r="W159" s="308"/>
      <c r="X159" s="20">
        <f t="shared" si="309"/>
        <v>0</v>
      </c>
      <c r="Y159" s="21"/>
      <c r="Z159" s="22">
        <f t="shared" si="301"/>
        <v>0</v>
      </c>
      <c r="AA159" s="22">
        <f t="shared" si="302"/>
        <v>0</v>
      </c>
      <c r="AB159" s="22">
        <f t="shared" si="303"/>
        <v>0</v>
      </c>
      <c r="AC159" s="22">
        <f t="shared" si="304"/>
        <v>0</v>
      </c>
      <c r="AD159" s="22">
        <f t="shared" si="305"/>
        <v>0</v>
      </c>
      <c r="AE159" s="22">
        <f t="shared" si="306"/>
        <v>0</v>
      </c>
      <c r="AF159" s="238">
        <f t="shared" si="288"/>
        <v>0</v>
      </c>
    </row>
    <row r="160" spans="1:32" x14ac:dyDescent="0.2">
      <c r="A160" s="308"/>
      <c r="B160" s="20">
        <f t="shared" si="307"/>
        <v>0</v>
      </c>
      <c r="C160" s="21"/>
      <c r="D160" s="247">
        <f t="shared" si="289"/>
        <v>0</v>
      </c>
      <c r="E160" s="22">
        <f t="shared" si="290"/>
        <v>0</v>
      </c>
      <c r="F160" s="22">
        <f t="shared" si="291"/>
        <v>0</v>
      </c>
      <c r="G160" s="22">
        <f t="shared" si="292"/>
        <v>0</v>
      </c>
      <c r="H160" s="22">
        <f t="shared" si="293"/>
        <v>0</v>
      </c>
      <c r="I160" s="248">
        <f t="shared" si="294"/>
        <v>0</v>
      </c>
      <c r="J160" s="50">
        <f t="shared" si="286"/>
        <v>0</v>
      </c>
      <c r="K160" s="23"/>
      <c r="L160" s="308"/>
      <c r="M160" s="20">
        <f t="shared" si="308"/>
        <v>0</v>
      </c>
      <c r="N160" s="21"/>
      <c r="O160" s="22">
        <f t="shared" si="295"/>
        <v>0</v>
      </c>
      <c r="P160" s="22">
        <f t="shared" si="296"/>
        <v>0</v>
      </c>
      <c r="Q160" s="22">
        <f t="shared" si="297"/>
        <v>0</v>
      </c>
      <c r="R160" s="22">
        <f t="shared" si="298"/>
        <v>0</v>
      </c>
      <c r="S160" s="22">
        <f t="shared" si="299"/>
        <v>0</v>
      </c>
      <c r="T160" s="22">
        <f t="shared" si="300"/>
        <v>0</v>
      </c>
      <c r="U160" s="238">
        <f t="shared" si="287"/>
        <v>0</v>
      </c>
      <c r="V160" s="22"/>
      <c r="W160" s="308"/>
      <c r="X160" s="20">
        <f t="shared" si="309"/>
        <v>0</v>
      </c>
      <c r="Y160" s="21"/>
      <c r="Z160" s="22">
        <f t="shared" si="301"/>
        <v>0</v>
      </c>
      <c r="AA160" s="22">
        <f t="shared" si="302"/>
        <v>0</v>
      </c>
      <c r="AB160" s="22">
        <f t="shared" si="303"/>
        <v>0</v>
      </c>
      <c r="AC160" s="22">
        <f t="shared" si="304"/>
        <v>0</v>
      </c>
      <c r="AD160" s="22">
        <f t="shared" si="305"/>
        <v>0</v>
      </c>
      <c r="AE160" s="22">
        <f t="shared" si="306"/>
        <v>0</v>
      </c>
      <c r="AF160" s="238">
        <f t="shared" si="288"/>
        <v>0</v>
      </c>
    </row>
    <row r="161" spans="1:32" x14ac:dyDescent="0.2">
      <c r="A161" s="308"/>
      <c r="B161" s="20">
        <f t="shared" si="307"/>
        <v>0</v>
      </c>
      <c r="C161" s="21"/>
      <c r="D161" s="247">
        <f t="shared" si="289"/>
        <v>0</v>
      </c>
      <c r="E161" s="22">
        <f t="shared" si="290"/>
        <v>0</v>
      </c>
      <c r="F161" s="22">
        <f t="shared" si="291"/>
        <v>0</v>
      </c>
      <c r="G161" s="22">
        <f t="shared" si="292"/>
        <v>0</v>
      </c>
      <c r="H161" s="22">
        <f t="shared" si="293"/>
        <v>0</v>
      </c>
      <c r="I161" s="248">
        <f t="shared" si="294"/>
        <v>0</v>
      </c>
      <c r="J161" s="50">
        <f t="shared" si="286"/>
        <v>0</v>
      </c>
      <c r="K161" s="23"/>
      <c r="L161" s="308"/>
      <c r="M161" s="20">
        <f t="shared" si="308"/>
        <v>0</v>
      </c>
      <c r="N161" s="21"/>
      <c r="O161" s="22">
        <f t="shared" si="295"/>
        <v>0</v>
      </c>
      <c r="P161" s="22">
        <f t="shared" si="296"/>
        <v>0</v>
      </c>
      <c r="Q161" s="22">
        <f t="shared" si="297"/>
        <v>0</v>
      </c>
      <c r="R161" s="22">
        <f t="shared" si="298"/>
        <v>0</v>
      </c>
      <c r="S161" s="22">
        <f t="shared" si="299"/>
        <v>0</v>
      </c>
      <c r="T161" s="22">
        <f t="shared" si="300"/>
        <v>0</v>
      </c>
      <c r="U161" s="238">
        <f t="shared" si="287"/>
        <v>0</v>
      </c>
      <c r="V161" s="22"/>
      <c r="W161" s="308"/>
      <c r="X161" s="20">
        <f t="shared" si="309"/>
        <v>0</v>
      </c>
      <c r="Y161" s="21"/>
      <c r="Z161" s="22">
        <f t="shared" si="301"/>
        <v>0</v>
      </c>
      <c r="AA161" s="22">
        <f t="shared" si="302"/>
        <v>0</v>
      </c>
      <c r="AB161" s="22">
        <f t="shared" si="303"/>
        <v>0</v>
      </c>
      <c r="AC161" s="22">
        <f t="shared" si="304"/>
        <v>0</v>
      </c>
      <c r="AD161" s="22">
        <f t="shared" si="305"/>
        <v>0</v>
      </c>
      <c r="AE161" s="22">
        <f t="shared" si="306"/>
        <v>0</v>
      </c>
      <c r="AF161" s="238">
        <f t="shared" si="288"/>
        <v>0</v>
      </c>
    </row>
    <row r="162" spans="1:32" ht="16" thickBot="1" x14ac:dyDescent="0.25">
      <c r="A162" s="308"/>
      <c r="B162" s="20">
        <f t="shared" si="307"/>
        <v>0</v>
      </c>
      <c r="C162" s="21"/>
      <c r="D162" s="249">
        <f t="shared" si="289"/>
        <v>0</v>
      </c>
      <c r="E162" s="250">
        <f t="shared" si="290"/>
        <v>0</v>
      </c>
      <c r="F162" s="250">
        <f t="shared" si="291"/>
        <v>0</v>
      </c>
      <c r="G162" s="250">
        <f t="shared" si="292"/>
        <v>0</v>
      </c>
      <c r="H162" s="250">
        <f t="shared" si="293"/>
        <v>0</v>
      </c>
      <c r="I162" s="251">
        <f t="shared" si="294"/>
        <v>0</v>
      </c>
      <c r="J162" s="50">
        <f t="shared" si="286"/>
        <v>0</v>
      </c>
      <c r="K162" s="23"/>
      <c r="L162" s="308"/>
      <c r="M162" s="20">
        <f t="shared" si="308"/>
        <v>0</v>
      </c>
      <c r="N162" s="21"/>
      <c r="O162" s="22">
        <f t="shared" si="295"/>
        <v>0</v>
      </c>
      <c r="P162" s="22">
        <f t="shared" si="296"/>
        <v>0</v>
      </c>
      <c r="Q162" s="22">
        <f t="shared" si="297"/>
        <v>0</v>
      </c>
      <c r="R162" s="22">
        <f t="shared" si="298"/>
        <v>0</v>
      </c>
      <c r="S162" s="22">
        <f t="shared" si="299"/>
        <v>0</v>
      </c>
      <c r="T162" s="22">
        <f t="shared" si="300"/>
        <v>0</v>
      </c>
      <c r="U162" s="239">
        <f t="shared" si="287"/>
        <v>0</v>
      </c>
      <c r="V162" s="22"/>
      <c r="W162" s="308"/>
      <c r="X162" s="20">
        <f t="shared" si="309"/>
        <v>0</v>
      </c>
      <c r="Y162" s="21"/>
      <c r="Z162" s="22">
        <f t="shared" si="301"/>
        <v>0</v>
      </c>
      <c r="AA162" s="22">
        <f t="shared" si="302"/>
        <v>0</v>
      </c>
      <c r="AB162" s="22">
        <f t="shared" si="303"/>
        <v>0</v>
      </c>
      <c r="AC162" s="22">
        <f t="shared" si="304"/>
        <v>0</v>
      </c>
      <c r="AD162" s="22">
        <f t="shared" si="305"/>
        <v>0</v>
      </c>
      <c r="AE162" s="22">
        <f t="shared" si="306"/>
        <v>0</v>
      </c>
      <c r="AF162" s="239">
        <f t="shared" si="288"/>
        <v>0</v>
      </c>
    </row>
    <row r="163" spans="1:32" ht="16" thickBot="1" x14ac:dyDescent="0.25">
      <c r="A163" s="308"/>
      <c r="B163" s="311" t="s">
        <v>30</v>
      </c>
      <c r="C163" s="312"/>
      <c r="D163" s="252">
        <f t="shared" ref="D163" si="310">SUM(D164:D166)</f>
        <v>0</v>
      </c>
      <c r="E163" s="252">
        <f t="shared" ref="E163" si="311">SUM(E164:E166)</f>
        <v>0</v>
      </c>
      <c r="F163" s="252">
        <f t="shared" ref="F163" si="312">SUM(F164:F166)</f>
        <v>0</v>
      </c>
      <c r="G163" s="252">
        <f t="shared" ref="G163" si="313">SUM(G164:G166)</f>
        <v>0</v>
      </c>
      <c r="H163" s="252">
        <f t="shared" ref="H163" si="314">SUM(H164:H166)</f>
        <v>0</v>
      </c>
      <c r="I163" s="252">
        <f t="shared" ref="I163" si="315">SUM(I164:I166)</f>
        <v>0</v>
      </c>
      <c r="J163" s="51">
        <f>SUM(J164:J166)</f>
        <v>0</v>
      </c>
      <c r="K163" s="23"/>
      <c r="L163" s="308"/>
      <c r="M163" s="311" t="s">
        <v>30</v>
      </c>
      <c r="N163" s="312"/>
      <c r="O163" s="41">
        <f t="shared" ref="O163" si="316">SUM(O164:O166)</f>
        <v>0</v>
      </c>
      <c r="P163" s="41">
        <f t="shared" ref="P163" si="317">SUM(P164:P166)</f>
        <v>0</v>
      </c>
      <c r="Q163" s="41">
        <f t="shared" ref="Q163" si="318">SUM(Q164:Q166)</f>
        <v>0</v>
      </c>
      <c r="R163" s="41">
        <f t="shared" ref="R163" si="319">SUM(R164:R166)</f>
        <v>0</v>
      </c>
      <c r="S163" s="41">
        <f t="shared" ref="S163" si="320">SUM(S164:S166)</f>
        <v>0</v>
      </c>
      <c r="T163" s="41">
        <f t="shared" ref="T163" si="321">SUM(T164:T166)</f>
        <v>0</v>
      </c>
      <c r="U163" s="240">
        <f>SUM(U164:U166)</f>
        <v>0</v>
      </c>
      <c r="V163" s="22"/>
      <c r="W163" s="308"/>
      <c r="X163" s="311" t="s">
        <v>30</v>
      </c>
      <c r="Y163" s="312"/>
      <c r="Z163" s="41">
        <f t="shared" ref="Z163" si="322">SUM(Z164:Z166)</f>
        <v>0</v>
      </c>
      <c r="AA163" s="41">
        <f t="shared" ref="AA163" si="323">SUM(AA164:AA166)</f>
        <v>0</v>
      </c>
      <c r="AB163" s="41">
        <f t="shared" ref="AB163" si="324">SUM(AB164:AB166)</f>
        <v>0</v>
      </c>
      <c r="AC163" s="41">
        <f t="shared" ref="AC163" si="325">SUM(AC164:AC166)</f>
        <v>0</v>
      </c>
      <c r="AD163" s="41">
        <f t="shared" ref="AD163" si="326">SUM(AD164:AD166)</f>
        <v>0</v>
      </c>
      <c r="AE163" s="41">
        <f t="shared" ref="AE163" si="327">SUM(AE164:AE166)</f>
        <v>0</v>
      </c>
      <c r="AF163" s="240">
        <f>SUM(AF164:AF166)</f>
        <v>0</v>
      </c>
    </row>
    <row r="164" spans="1:32" x14ac:dyDescent="0.2">
      <c r="A164" s="308"/>
      <c r="B164" s="20">
        <f>B148</f>
        <v>0</v>
      </c>
      <c r="C164" s="21"/>
      <c r="D164" s="244">
        <f>($C164*(1+$C$167))*D148</f>
        <v>0</v>
      </c>
      <c r="E164" s="245">
        <f>($C164*(1+$C$167)^2)*E148</f>
        <v>0</v>
      </c>
      <c r="F164" s="245">
        <f>($C164*(1+$C$167)^3)*F148</f>
        <v>0</v>
      </c>
      <c r="G164" s="245">
        <f>($C164*(1+$C$167)^4)*G148</f>
        <v>0</v>
      </c>
      <c r="H164" s="245">
        <f>($C164*(1+$C$167)^5)*H148</f>
        <v>0</v>
      </c>
      <c r="I164" s="246">
        <f>($C164*(1+$C$167)^6)*I148</f>
        <v>0</v>
      </c>
      <c r="J164" s="50">
        <f t="shared" ref="J164:J166" si="328">SUM(D164:I164)</f>
        <v>0</v>
      </c>
      <c r="K164" s="23"/>
      <c r="L164" s="308"/>
      <c r="M164" s="20">
        <f>M148</f>
        <v>0</v>
      </c>
      <c r="N164" s="21"/>
      <c r="O164" s="22">
        <f>($N164*(1+$N$167))*O148</f>
        <v>0</v>
      </c>
      <c r="P164" s="22">
        <f>($N164*(1+$N$167)^2)*P148</f>
        <v>0</v>
      </c>
      <c r="Q164" s="22">
        <f>($N164*(1+$N$167)^3)*Q148</f>
        <v>0</v>
      </c>
      <c r="R164" s="22">
        <f>($N164*(1+$N$167)^4)*R148</f>
        <v>0</v>
      </c>
      <c r="S164" s="22">
        <f>($N164*(1+$N$167)^5)*S148</f>
        <v>0</v>
      </c>
      <c r="T164" s="22">
        <f>($N164*(1+$N$167)^6)*T148</f>
        <v>0</v>
      </c>
      <c r="U164" s="237">
        <f t="shared" ref="U164:U166" si="329">SUM(O164:T164)</f>
        <v>0</v>
      </c>
      <c r="V164" s="22"/>
      <c r="W164" s="308"/>
      <c r="X164" s="20">
        <f>X148</f>
        <v>0</v>
      </c>
      <c r="Y164" s="21"/>
      <c r="Z164" s="22">
        <f>($Y164*(1+$Y$167))*Z148</f>
        <v>0</v>
      </c>
      <c r="AA164" s="22">
        <f>($Y164*(1+$Y$167)^2)*AA148</f>
        <v>0</v>
      </c>
      <c r="AB164" s="22">
        <f>($Y164*(1+$Y$167)^3)*AB148</f>
        <v>0</v>
      </c>
      <c r="AC164" s="22">
        <f>($Y164*(1+$Y$167)^4)*AC148</f>
        <v>0</v>
      </c>
      <c r="AD164" s="22">
        <f>($Y164*(1+$Y$167)^5)*AD148</f>
        <v>0</v>
      </c>
      <c r="AE164" s="22">
        <f>($Y164*(1+$Y$167)^6)*AE148</f>
        <v>0</v>
      </c>
      <c r="AF164" s="237">
        <f t="shared" ref="AF164:AF166" si="330">SUM(Z164:AE164)</f>
        <v>0</v>
      </c>
    </row>
    <row r="165" spans="1:32" x14ac:dyDescent="0.2">
      <c r="A165" s="308"/>
      <c r="B165" s="20">
        <f t="shared" ref="B165:B166" si="331">B149</f>
        <v>0</v>
      </c>
      <c r="C165" s="21"/>
      <c r="D165" s="247">
        <f t="shared" ref="D165:D166" si="332">($C165*(1+$C$167))*D149</f>
        <v>0</v>
      </c>
      <c r="E165" s="22">
        <f t="shared" ref="E165:E166" si="333">($C165*(1+$C$167)^2)*E149</f>
        <v>0</v>
      </c>
      <c r="F165" s="22">
        <f t="shared" ref="F165:F166" si="334">($C165*(1+$C$167)^3)*F149</f>
        <v>0</v>
      </c>
      <c r="G165" s="22">
        <f t="shared" ref="G165:G166" si="335">($C165*(1+$C$167)^4)*G149</f>
        <v>0</v>
      </c>
      <c r="H165" s="22">
        <f t="shared" ref="H165:H166" si="336">($C165*(1+$C$167)^5)*H149</f>
        <v>0</v>
      </c>
      <c r="I165" s="248">
        <f t="shared" ref="I165:I166" si="337">($C165*(1+$C$167)^6)*I149</f>
        <v>0</v>
      </c>
      <c r="J165" s="50">
        <f t="shared" si="328"/>
        <v>0</v>
      </c>
      <c r="K165" s="23"/>
      <c r="L165" s="308"/>
      <c r="M165" s="20">
        <f t="shared" ref="M165:M166" si="338">M149</f>
        <v>0</v>
      </c>
      <c r="N165" s="21"/>
      <c r="O165" s="22">
        <f t="shared" ref="O165:O166" si="339">($N165*(1+$N$167))*O149</f>
        <v>0</v>
      </c>
      <c r="P165" s="22">
        <f t="shared" ref="P165:P166" si="340">($N165*(1+$N$167)^2)*P149</f>
        <v>0</v>
      </c>
      <c r="Q165" s="22">
        <f t="shared" ref="Q165:Q166" si="341">($N165*(1+$N$167)^3)*Q149</f>
        <v>0</v>
      </c>
      <c r="R165" s="22">
        <f t="shared" ref="R165:R166" si="342">($N165*(1+$N$167)^4)*R149</f>
        <v>0</v>
      </c>
      <c r="S165" s="22">
        <f t="shared" ref="S165:S166" si="343">($N165*(1+$N$167)^5)*S149</f>
        <v>0</v>
      </c>
      <c r="T165" s="22">
        <f t="shared" ref="T165:T166" si="344">($N165*(1+$N$167)^6)*T149</f>
        <v>0</v>
      </c>
      <c r="U165" s="238">
        <f t="shared" si="329"/>
        <v>0</v>
      </c>
      <c r="V165" s="22"/>
      <c r="W165" s="308"/>
      <c r="X165" s="20">
        <f t="shared" ref="X165:X166" si="345">X149</f>
        <v>0</v>
      </c>
      <c r="Y165" s="21"/>
      <c r="Z165" s="22">
        <f t="shared" ref="Z165:Z166" si="346">($Y165*(1+$Y$167))*Z149</f>
        <v>0</v>
      </c>
      <c r="AA165" s="22">
        <f t="shared" ref="AA165:AA166" si="347">($Y165*(1+$Y$167)^2)*AA149</f>
        <v>0</v>
      </c>
      <c r="AB165" s="22">
        <f t="shared" ref="AB165:AB166" si="348">($Y165*(1+$Y$167)^3)*AB149</f>
        <v>0</v>
      </c>
      <c r="AC165" s="22">
        <f t="shared" ref="AC165:AC166" si="349">($Y165*(1+$Y$167)^4)*AC149</f>
        <v>0</v>
      </c>
      <c r="AD165" s="22">
        <f t="shared" ref="AD165:AD166" si="350">($Y165*(1+$Y$167)^5)*AD149</f>
        <v>0</v>
      </c>
      <c r="AE165" s="22">
        <f t="shared" ref="AE165:AE166" si="351">($Y165*(1+$Y$167)^6)*AE149</f>
        <v>0</v>
      </c>
      <c r="AF165" s="238">
        <f t="shared" si="330"/>
        <v>0</v>
      </c>
    </row>
    <row r="166" spans="1:32" ht="16" thickBot="1" x14ac:dyDescent="0.25">
      <c r="A166" s="308"/>
      <c r="B166" s="20">
        <f t="shared" si="331"/>
        <v>0</v>
      </c>
      <c r="C166" s="21"/>
      <c r="D166" s="249">
        <f t="shared" si="332"/>
        <v>0</v>
      </c>
      <c r="E166" s="250">
        <f t="shared" si="333"/>
        <v>0</v>
      </c>
      <c r="F166" s="250">
        <f t="shared" si="334"/>
        <v>0</v>
      </c>
      <c r="G166" s="250">
        <f t="shared" si="335"/>
        <v>0</v>
      </c>
      <c r="H166" s="250">
        <f t="shared" si="336"/>
        <v>0</v>
      </c>
      <c r="I166" s="251">
        <f t="shared" si="337"/>
        <v>0</v>
      </c>
      <c r="J166" s="52">
        <f t="shared" si="328"/>
        <v>0</v>
      </c>
      <c r="K166" s="23"/>
      <c r="L166" s="308"/>
      <c r="M166" s="20">
        <f t="shared" si="338"/>
        <v>0</v>
      </c>
      <c r="N166" s="21"/>
      <c r="O166" s="22">
        <f t="shared" si="339"/>
        <v>0</v>
      </c>
      <c r="P166" s="22">
        <f t="shared" si="340"/>
        <v>0</v>
      </c>
      <c r="Q166" s="22">
        <f t="shared" si="341"/>
        <v>0</v>
      </c>
      <c r="R166" s="22">
        <f t="shared" si="342"/>
        <v>0</v>
      </c>
      <c r="S166" s="22">
        <f t="shared" si="343"/>
        <v>0</v>
      </c>
      <c r="T166" s="22">
        <f t="shared" si="344"/>
        <v>0</v>
      </c>
      <c r="U166" s="239">
        <f t="shared" si="329"/>
        <v>0</v>
      </c>
      <c r="V166" s="22"/>
      <c r="W166" s="308"/>
      <c r="X166" s="20">
        <f t="shared" si="345"/>
        <v>0</v>
      </c>
      <c r="Y166" s="21"/>
      <c r="Z166" s="22">
        <f t="shared" si="346"/>
        <v>0</v>
      </c>
      <c r="AA166" s="22">
        <f t="shared" si="347"/>
        <v>0</v>
      </c>
      <c r="AB166" s="22">
        <f t="shared" si="348"/>
        <v>0</v>
      </c>
      <c r="AC166" s="22">
        <f t="shared" si="349"/>
        <v>0</v>
      </c>
      <c r="AD166" s="22">
        <f t="shared" si="350"/>
        <v>0</v>
      </c>
      <c r="AE166" s="22">
        <f t="shared" si="351"/>
        <v>0</v>
      </c>
      <c r="AF166" s="239">
        <f t="shared" si="330"/>
        <v>0</v>
      </c>
    </row>
    <row r="167" spans="1:32" x14ac:dyDescent="0.2">
      <c r="A167" s="308"/>
      <c r="B167" s="24" t="s">
        <v>12</v>
      </c>
      <c r="C167" s="25">
        <v>0.02</v>
      </c>
      <c r="D167" s="253"/>
      <c r="E167" s="253"/>
      <c r="F167" s="253"/>
      <c r="G167" s="253"/>
      <c r="H167" s="253"/>
      <c r="I167" s="253"/>
      <c r="J167" s="53"/>
      <c r="K167" s="23"/>
      <c r="L167" s="308"/>
      <c r="M167" s="24" t="s">
        <v>12</v>
      </c>
      <c r="N167" s="25">
        <v>0.02</v>
      </c>
      <c r="O167" s="26"/>
      <c r="P167" s="26"/>
      <c r="Q167" s="26"/>
      <c r="R167" s="26"/>
      <c r="S167" s="26"/>
      <c r="T167" s="26"/>
      <c r="U167" s="27"/>
      <c r="V167" s="22"/>
      <c r="W167" s="308"/>
      <c r="X167" s="24" t="s">
        <v>12</v>
      </c>
      <c r="Y167" s="25">
        <v>0.02</v>
      </c>
      <c r="Z167" s="26"/>
      <c r="AA167" s="26"/>
      <c r="AB167" s="26"/>
      <c r="AC167" s="26"/>
      <c r="AD167" s="26"/>
      <c r="AE167" s="26"/>
      <c r="AF167" s="27"/>
    </row>
    <row r="168" spans="1:32" ht="16" thickBot="1" x14ac:dyDescent="0.25">
      <c r="A168" s="308"/>
      <c r="B168" s="17" t="s">
        <v>13</v>
      </c>
      <c r="C168" s="17"/>
      <c r="D168" s="28">
        <f>ROUND((D153+D163),0)</f>
        <v>0</v>
      </c>
      <c r="E168" s="28">
        <f t="shared" ref="E168:I168" si="352">ROUND((E153+E163),0)</f>
        <v>0</v>
      </c>
      <c r="F168" s="28">
        <f t="shared" si="352"/>
        <v>0</v>
      </c>
      <c r="G168" s="28">
        <f t="shared" si="352"/>
        <v>0</v>
      </c>
      <c r="H168" s="28">
        <f t="shared" si="352"/>
        <v>0</v>
      </c>
      <c r="I168" s="28">
        <f t="shared" si="352"/>
        <v>0</v>
      </c>
      <c r="J168" s="54">
        <f>SUM(D168:I168)</f>
        <v>0</v>
      </c>
      <c r="K168" s="23"/>
      <c r="L168" s="308"/>
      <c r="M168" s="17" t="s">
        <v>13</v>
      </c>
      <c r="N168" s="17"/>
      <c r="O168" s="28">
        <f>ROUND((O153+O163),0)</f>
        <v>0</v>
      </c>
      <c r="P168" s="28">
        <f t="shared" ref="P168:T168" si="353">ROUND((P153+P163),0)</f>
        <v>0</v>
      </c>
      <c r="Q168" s="28">
        <f t="shared" si="353"/>
        <v>0</v>
      </c>
      <c r="R168" s="28">
        <f t="shared" si="353"/>
        <v>0</v>
      </c>
      <c r="S168" s="28">
        <f t="shared" si="353"/>
        <v>0</v>
      </c>
      <c r="T168" s="28">
        <f t="shared" si="353"/>
        <v>0</v>
      </c>
      <c r="U168" s="28">
        <f>SUM(O168:T168)</f>
        <v>0</v>
      </c>
      <c r="V168" s="22"/>
      <c r="W168" s="308"/>
      <c r="X168" s="17" t="s">
        <v>13</v>
      </c>
      <c r="Y168" s="17"/>
      <c r="Z168" s="28">
        <f>ROUND((Z153+Z163),0)</f>
        <v>0</v>
      </c>
      <c r="AA168" s="28">
        <f t="shared" ref="AA168:AE168" si="354">ROUND((AA153+AA163),0)</f>
        <v>0</v>
      </c>
      <c r="AB168" s="28">
        <f t="shared" si="354"/>
        <v>0</v>
      </c>
      <c r="AC168" s="28">
        <f t="shared" si="354"/>
        <v>0</v>
      </c>
      <c r="AD168" s="28">
        <f t="shared" si="354"/>
        <v>0</v>
      </c>
      <c r="AE168" s="28">
        <f t="shared" si="354"/>
        <v>0</v>
      </c>
      <c r="AF168" s="28">
        <f>SUM(Z168:AE168)</f>
        <v>0</v>
      </c>
    </row>
    <row r="169" spans="1:32" ht="16" thickBot="1" x14ac:dyDescent="0.25">
      <c r="A169" s="307" t="s">
        <v>14</v>
      </c>
      <c r="B169" s="37" t="s">
        <v>15</v>
      </c>
      <c r="C169" s="37"/>
      <c r="D169" s="256">
        <f t="shared" ref="D169:I169" si="355">+D152</f>
        <v>2019</v>
      </c>
      <c r="E169" s="256">
        <f t="shared" si="355"/>
        <v>2020</v>
      </c>
      <c r="F169" s="256">
        <f t="shared" si="355"/>
        <v>2021</v>
      </c>
      <c r="G169" s="256">
        <f t="shared" si="355"/>
        <v>2022</v>
      </c>
      <c r="H169" s="256">
        <f t="shared" si="355"/>
        <v>2023</v>
      </c>
      <c r="I169" s="256">
        <f t="shared" si="355"/>
        <v>2024</v>
      </c>
      <c r="J169" s="46" t="s">
        <v>11</v>
      </c>
      <c r="L169" s="307" t="s">
        <v>14</v>
      </c>
      <c r="M169" s="37" t="s">
        <v>15</v>
      </c>
      <c r="N169" s="37"/>
      <c r="O169" s="13">
        <f t="shared" ref="O169:T169" si="356">+O152</f>
        <v>2019</v>
      </c>
      <c r="P169" s="13">
        <f t="shared" si="356"/>
        <v>2020</v>
      </c>
      <c r="Q169" s="13">
        <f t="shared" si="356"/>
        <v>2021</v>
      </c>
      <c r="R169" s="13">
        <f t="shared" si="356"/>
        <v>2022</v>
      </c>
      <c r="S169" s="13">
        <f t="shared" si="356"/>
        <v>2023</v>
      </c>
      <c r="T169" s="13">
        <f t="shared" si="356"/>
        <v>2024</v>
      </c>
      <c r="U169" s="256" t="s">
        <v>11</v>
      </c>
      <c r="V169" s="14"/>
      <c r="W169" s="307" t="s">
        <v>14</v>
      </c>
      <c r="X169" s="37" t="s">
        <v>15</v>
      </c>
      <c r="Y169" s="37"/>
      <c r="Z169" s="13">
        <f t="shared" ref="Z169:AE169" si="357">+Z152</f>
        <v>2019</v>
      </c>
      <c r="AA169" s="13">
        <f t="shared" si="357"/>
        <v>2020</v>
      </c>
      <c r="AB169" s="13">
        <f t="shared" si="357"/>
        <v>2021</v>
      </c>
      <c r="AC169" s="13">
        <f t="shared" si="357"/>
        <v>2022</v>
      </c>
      <c r="AD169" s="13">
        <f t="shared" si="357"/>
        <v>2023</v>
      </c>
      <c r="AE169" s="13">
        <f t="shared" si="357"/>
        <v>2024</v>
      </c>
      <c r="AF169" s="256" t="s">
        <v>11</v>
      </c>
    </row>
    <row r="170" spans="1:32" x14ac:dyDescent="0.2">
      <c r="A170" s="308"/>
      <c r="B170" s="79"/>
      <c r="C170" s="254"/>
      <c r="D170" s="258"/>
      <c r="E170" s="259"/>
      <c r="F170" s="259"/>
      <c r="G170" s="259"/>
      <c r="H170" s="259"/>
      <c r="I170" s="260"/>
      <c r="J170" s="50">
        <f>SUM(D170:I170)</f>
        <v>0</v>
      </c>
      <c r="L170" s="308"/>
      <c r="M170" s="79"/>
      <c r="N170" s="80"/>
      <c r="O170" s="29"/>
      <c r="P170" s="29"/>
      <c r="Q170" s="29"/>
      <c r="R170" s="29"/>
      <c r="S170" s="29"/>
      <c r="T170" s="29"/>
      <c r="U170" s="237">
        <f>SUM(O170:T170)</f>
        <v>0</v>
      </c>
      <c r="V170" s="22"/>
      <c r="W170" s="308"/>
      <c r="X170" s="79"/>
      <c r="Y170" s="80"/>
      <c r="Z170" s="29"/>
      <c r="AA170" s="29"/>
      <c r="AB170" s="29"/>
      <c r="AC170" s="29"/>
      <c r="AD170" s="29"/>
      <c r="AE170" s="29"/>
      <c r="AF170" s="237">
        <f>SUM(Z170:AE170)</f>
        <v>0</v>
      </c>
    </row>
    <row r="171" spans="1:32" x14ac:dyDescent="0.2">
      <c r="A171" s="308"/>
      <c r="B171" s="77"/>
      <c r="C171" s="15"/>
      <c r="D171" s="261"/>
      <c r="E171" s="29"/>
      <c r="F171" s="29"/>
      <c r="G171" s="29"/>
      <c r="H171" s="29"/>
      <c r="I171" s="262"/>
      <c r="J171" s="50">
        <f>SUM(D171:I171)</f>
        <v>0</v>
      </c>
      <c r="L171" s="308"/>
      <c r="M171" s="77"/>
      <c r="N171" s="78"/>
      <c r="O171" s="29"/>
      <c r="P171" s="29"/>
      <c r="Q171" s="29"/>
      <c r="R171" s="29"/>
      <c r="S171" s="29"/>
      <c r="T171" s="29"/>
      <c r="U171" s="238">
        <f>SUM(O171:T171)</f>
        <v>0</v>
      </c>
      <c r="V171" s="22"/>
      <c r="W171" s="308"/>
      <c r="X171" s="77"/>
      <c r="Y171" s="78"/>
      <c r="Z171" s="29"/>
      <c r="AA171" s="29"/>
      <c r="AB171" s="29"/>
      <c r="AC171" s="29"/>
      <c r="AD171" s="29"/>
      <c r="AE171" s="29"/>
      <c r="AF171" s="238">
        <f>SUM(Z171:AE171)</f>
        <v>0</v>
      </c>
    </row>
    <row r="172" spans="1:32" ht="16" thickBot="1" x14ac:dyDescent="0.25">
      <c r="A172" s="308"/>
      <c r="B172" s="81"/>
      <c r="C172" s="255"/>
      <c r="D172" s="263"/>
      <c r="E172" s="264"/>
      <c r="F172" s="264"/>
      <c r="G172" s="264"/>
      <c r="H172" s="264"/>
      <c r="I172" s="265"/>
      <c r="J172" s="50">
        <f>SUM(D172:I172)</f>
        <v>0</v>
      </c>
      <c r="L172" s="308"/>
      <c r="M172" s="81"/>
      <c r="N172" s="82"/>
      <c r="O172" s="29"/>
      <c r="P172" s="29"/>
      <c r="Q172" s="29"/>
      <c r="R172" s="29"/>
      <c r="S172" s="29"/>
      <c r="T172" s="29"/>
      <c r="U172" s="239">
        <f>SUM(O172:T172)</f>
        <v>0</v>
      </c>
      <c r="V172" s="22"/>
      <c r="W172" s="308"/>
      <c r="X172" s="81"/>
      <c r="Y172" s="82"/>
      <c r="Z172" s="29"/>
      <c r="AA172" s="29"/>
      <c r="AB172" s="29"/>
      <c r="AC172" s="29"/>
      <c r="AD172" s="29"/>
      <c r="AE172" s="29"/>
      <c r="AF172" s="239">
        <f>SUM(Z172:AE172)</f>
        <v>0</v>
      </c>
    </row>
    <row r="173" spans="1:32" ht="16" thickBot="1" x14ac:dyDescent="0.25">
      <c r="A173" s="308"/>
      <c r="B173" s="17" t="s">
        <v>16</v>
      </c>
      <c r="C173" s="17"/>
      <c r="D173" s="257">
        <f t="shared" ref="D173:I173" si="358">ROUND(SUM(D170:D172),0)</f>
        <v>0</v>
      </c>
      <c r="E173" s="257">
        <f t="shared" si="358"/>
        <v>0</v>
      </c>
      <c r="F173" s="257">
        <f t="shared" si="358"/>
        <v>0</v>
      </c>
      <c r="G173" s="257">
        <f t="shared" si="358"/>
        <v>0</v>
      </c>
      <c r="H173" s="257">
        <f t="shared" si="358"/>
        <v>0</v>
      </c>
      <c r="I173" s="257">
        <f t="shared" si="358"/>
        <v>0</v>
      </c>
      <c r="J173" s="54">
        <f>SUM(D173:I173)</f>
        <v>0</v>
      </c>
      <c r="L173" s="308"/>
      <c r="M173" s="17" t="s">
        <v>16</v>
      </c>
      <c r="N173" s="17"/>
      <c r="O173" s="28">
        <f t="shared" ref="O173:T173" si="359">ROUND(SUM(O170:O172),0)</f>
        <v>0</v>
      </c>
      <c r="P173" s="28">
        <f t="shared" si="359"/>
        <v>0</v>
      </c>
      <c r="Q173" s="28">
        <f t="shared" si="359"/>
        <v>0</v>
      </c>
      <c r="R173" s="28">
        <f t="shared" si="359"/>
        <v>0</v>
      </c>
      <c r="S173" s="28">
        <f t="shared" si="359"/>
        <v>0</v>
      </c>
      <c r="T173" s="28">
        <f t="shared" si="359"/>
        <v>0</v>
      </c>
      <c r="U173" s="257">
        <f>SUM(O173:T173)</f>
        <v>0</v>
      </c>
      <c r="V173" s="22"/>
      <c r="W173" s="308"/>
      <c r="X173" s="17" t="s">
        <v>16</v>
      </c>
      <c r="Y173" s="17"/>
      <c r="Z173" s="28">
        <f t="shared" ref="Z173:AE173" si="360">ROUND(SUM(Z170:Z172),0)</f>
        <v>0</v>
      </c>
      <c r="AA173" s="28">
        <f t="shared" si="360"/>
        <v>0</v>
      </c>
      <c r="AB173" s="28">
        <f t="shared" si="360"/>
        <v>0</v>
      </c>
      <c r="AC173" s="28">
        <f t="shared" si="360"/>
        <v>0</v>
      </c>
      <c r="AD173" s="28">
        <f t="shared" si="360"/>
        <v>0</v>
      </c>
      <c r="AE173" s="28">
        <f t="shared" si="360"/>
        <v>0</v>
      </c>
      <c r="AF173" s="257">
        <f>SUM(Z173:AE173)</f>
        <v>0</v>
      </c>
    </row>
    <row r="174" spans="1:32" ht="16" thickBot="1" x14ac:dyDescent="0.25">
      <c r="A174" s="307" t="s">
        <v>17</v>
      </c>
      <c r="B174" s="37" t="s">
        <v>31</v>
      </c>
      <c r="C174" s="37"/>
      <c r="D174" s="256">
        <f t="shared" ref="D174:I174" si="361">D136</f>
        <v>2019</v>
      </c>
      <c r="E174" s="256">
        <f t="shared" si="361"/>
        <v>2020</v>
      </c>
      <c r="F174" s="256">
        <f t="shared" si="361"/>
        <v>2021</v>
      </c>
      <c r="G174" s="256">
        <f t="shared" si="361"/>
        <v>2022</v>
      </c>
      <c r="H174" s="256">
        <f t="shared" si="361"/>
        <v>2023</v>
      </c>
      <c r="I174" s="256">
        <f t="shared" si="361"/>
        <v>2024</v>
      </c>
      <c r="J174" s="46" t="s">
        <v>11</v>
      </c>
      <c r="L174" s="307" t="s">
        <v>17</v>
      </c>
      <c r="M174" s="37" t="s">
        <v>31</v>
      </c>
      <c r="N174" s="37"/>
      <c r="O174" s="13">
        <f t="shared" ref="O174:T174" si="362">O136</f>
        <v>2019</v>
      </c>
      <c r="P174" s="13">
        <f t="shared" si="362"/>
        <v>2020</v>
      </c>
      <c r="Q174" s="13">
        <f t="shared" si="362"/>
        <v>2021</v>
      </c>
      <c r="R174" s="13">
        <f t="shared" si="362"/>
        <v>2022</v>
      </c>
      <c r="S174" s="13">
        <f t="shared" si="362"/>
        <v>2023</v>
      </c>
      <c r="T174" s="13">
        <f t="shared" si="362"/>
        <v>2024</v>
      </c>
      <c r="U174" s="256" t="s">
        <v>11</v>
      </c>
      <c r="V174" s="14"/>
      <c r="W174" s="307" t="s">
        <v>17</v>
      </c>
      <c r="X174" s="37" t="s">
        <v>31</v>
      </c>
      <c r="Y174" s="37"/>
      <c r="Z174" s="13">
        <f t="shared" ref="Z174:AE174" si="363">Z136</f>
        <v>2019</v>
      </c>
      <c r="AA174" s="13">
        <f t="shared" si="363"/>
        <v>2020</v>
      </c>
      <c r="AB174" s="13">
        <f t="shared" si="363"/>
        <v>2021</v>
      </c>
      <c r="AC174" s="13">
        <f t="shared" si="363"/>
        <v>2022</v>
      </c>
      <c r="AD174" s="13">
        <f t="shared" si="363"/>
        <v>2023</v>
      </c>
      <c r="AE174" s="13">
        <f t="shared" si="363"/>
        <v>2024</v>
      </c>
      <c r="AF174" s="256" t="s">
        <v>11</v>
      </c>
    </row>
    <row r="175" spans="1:32" x14ac:dyDescent="0.2">
      <c r="A175" s="308"/>
      <c r="B175" s="79"/>
      <c r="C175" s="254"/>
      <c r="D175" s="258"/>
      <c r="E175" s="259"/>
      <c r="F175" s="259"/>
      <c r="G175" s="259"/>
      <c r="H175" s="259"/>
      <c r="I175" s="260"/>
      <c r="J175" s="50">
        <f t="shared" ref="J175:J188" si="364">SUM(D175:I175)</f>
        <v>0</v>
      </c>
      <c r="L175" s="308"/>
      <c r="M175" s="79"/>
      <c r="N175" s="80"/>
      <c r="O175" s="29"/>
      <c r="P175" s="29"/>
      <c r="Q175" s="29"/>
      <c r="R175" s="29"/>
      <c r="S175" s="29"/>
      <c r="T175" s="29"/>
      <c r="U175" s="237">
        <f t="shared" ref="U175:U188" si="365">SUM(O175:T175)</f>
        <v>0</v>
      </c>
      <c r="V175" s="16"/>
      <c r="W175" s="308"/>
      <c r="X175" s="79"/>
      <c r="Y175" s="80"/>
      <c r="Z175" s="29"/>
      <c r="AA175" s="29"/>
      <c r="AB175" s="29"/>
      <c r="AC175" s="29"/>
      <c r="AD175" s="29"/>
      <c r="AE175" s="29"/>
      <c r="AF175" s="237">
        <f t="shared" ref="AF175:AF188" si="366">SUM(Z175:AE175)</f>
        <v>0</v>
      </c>
    </row>
    <row r="176" spans="1:32" x14ac:dyDescent="0.2">
      <c r="A176" s="308"/>
      <c r="B176" s="85"/>
      <c r="C176" s="266"/>
      <c r="D176" s="261"/>
      <c r="E176" s="29"/>
      <c r="F176" s="29"/>
      <c r="G176" s="29"/>
      <c r="H176" s="29"/>
      <c r="I176" s="262"/>
      <c r="J176" s="50">
        <f t="shared" si="364"/>
        <v>0</v>
      </c>
      <c r="L176" s="308"/>
      <c r="M176" s="85"/>
      <c r="N176" s="57"/>
      <c r="O176" s="29"/>
      <c r="P176" s="29"/>
      <c r="Q176" s="29"/>
      <c r="R176" s="29"/>
      <c r="S176" s="29"/>
      <c r="T176" s="29"/>
      <c r="U176" s="238">
        <f t="shared" si="365"/>
        <v>0</v>
      </c>
      <c r="V176" s="16"/>
      <c r="W176" s="308"/>
      <c r="X176" s="85"/>
      <c r="Y176" s="57"/>
      <c r="Z176" s="29"/>
      <c r="AA176" s="29"/>
      <c r="AB176" s="29"/>
      <c r="AC176" s="29"/>
      <c r="AD176" s="29"/>
      <c r="AE176" s="29"/>
      <c r="AF176" s="238">
        <f t="shared" si="366"/>
        <v>0</v>
      </c>
    </row>
    <row r="177" spans="1:32" x14ac:dyDescent="0.2">
      <c r="A177" s="308"/>
      <c r="B177" s="56"/>
      <c r="C177" s="266"/>
      <c r="D177" s="261"/>
      <c r="E177" s="29"/>
      <c r="F177" s="29"/>
      <c r="G177" s="29"/>
      <c r="H177" s="29"/>
      <c r="I177" s="262"/>
      <c r="J177" s="50">
        <f t="shared" si="364"/>
        <v>0</v>
      </c>
      <c r="L177" s="308"/>
      <c r="M177" s="56"/>
      <c r="N177" s="57"/>
      <c r="O177" s="29"/>
      <c r="P177" s="29"/>
      <c r="Q177" s="29"/>
      <c r="R177" s="29"/>
      <c r="S177" s="29"/>
      <c r="T177" s="29"/>
      <c r="U177" s="238">
        <f t="shared" si="365"/>
        <v>0</v>
      </c>
      <c r="V177" s="16"/>
      <c r="W177" s="308"/>
      <c r="X177" s="56"/>
      <c r="Y177" s="57"/>
      <c r="Z177" s="29"/>
      <c r="AA177" s="29"/>
      <c r="AB177" s="29"/>
      <c r="AC177" s="29"/>
      <c r="AD177" s="29"/>
      <c r="AE177" s="29"/>
      <c r="AF177" s="238">
        <f t="shared" si="366"/>
        <v>0</v>
      </c>
    </row>
    <row r="178" spans="1:32" x14ac:dyDescent="0.2">
      <c r="A178" s="308"/>
      <c r="B178" s="56"/>
      <c r="C178" s="266"/>
      <c r="D178" s="261"/>
      <c r="E178" s="29"/>
      <c r="F178" s="29"/>
      <c r="G178" s="29"/>
      <c r="H178" s="29"/>
      <c r="I178" s="262"/>
      <c r="J178" s="50">
        <f t="shared" si="364"/>
        <v>0</v>
      </c>
      <c r="L178" s="308"/>
      <c r="M178" s="56"/>
      <c r="N178" s="57"/>
      <c r="O178" s="29"/>
      <c r="P178" s="29"/>
      <c r="Q178" s="29"/>
      <c r="R178" s="29"/>
      <c r="S178" s="29"/>
      <c r="T178" s="29"/>
      <c r="U178" s="238">
        <f t="shared" si="365"/>
        <v>0</v>
      </c>
      <c r="V178" s="16"/>
      <c r="W178" s="308"/>
      <c r="X178" s="56"/>
      <c r="Y178" s="57"/>
      <c r="Z178" s="29"/>
      <c r="AA178" s="29"/>
      <c r="AB178" s="29"/>
      <c r="AC178" s="29"/>
      <c r="AD178" s="29"/>
      <c r="AE178" s="29"/>
      <c r="AF178" s="238">
        <f t="shared" si="366"/>
        <v>0</v>
      </c>
    </row>
    <row r="179" spans="1:32" x14ac:dyDescent="0.2">
      <c r="A179" s="308"/>
      <c r="B179" s="56"/>
      <c r="C179" s="266"/>
      <c r="D179" s="261"/>
      <c r="E179" s="29"/>
      <c r="F179" s="29"/>
      <c r="G179" s="29"/>
      <c r="H179" s="29"/>
      <c r="I179" s="262"/>
      <c r="J179" s="50">
        <f t="shared" si="364"/>
        <v>0</v>
      </c>
      <c r="L179" s="308"/>
      <c r="M179" s="56"/>
      <c r="N179" s="57"/>
      <c r="O179" s="29"/>
      <c r="P179" s="29"/>
      <c r="Q179" s="29"/>
      <c r="R179" s="29"/>
      <c r="S179" s="29"/>
      <c r="T179" s="29"/>
      <c r="U179" s="238">
        <f t="shared" si="365"/>
        <v>0</v>
      </c>
      <c r="V179" s="16"/>
      <c r="W179" s="308"/>
      <c r="X179" s="56"/>
      <c r="Y179" s="57"/>
      <c r="Z179" s="29"/>
      <c r="AA179" s="29"/>
      <c r="AB179" s="29"/>
      <c r="AC179" s="29"/>
      <c r="AD179" s="29"/>
      <c r="AE179" s="29"/>
      <c r="AF179" s="238">
        <f t="shared" si="366"/>
        <v>0</v>
      </c>
    </row>
    <row r="180" spans="1:32" x14ac:dyDescent="0.2">
      <c r="A180" s="308"/>
      <c r="B180" s="56"/>
      <c r="C180" s="266"/>
      <c r="D180" s="261"/>
      <c r="E180" s="29"/>
      <c r="F180" s="29"/>
      <c r="G180" s="29"/>
      <c r="H180" s="29"/>
      <c r="I180" s="262"/>
      <c r="J180" s="50">
        <f t="shared" si="364"/>
        <v>0</v>
      </c>
      <c r="L180" s="308"/>
      <c r="M180" s="56"/>
      <c r="N180" s="57"/>
      <c r="O180" s="29"/>
      <c r="P180" s="29"/>
      <c r="Q180" s="29"/>
      <c r="R180" s="29"/>
      <c r="S180" s="29"/>
      <c r="T180" s="29"/>
      <c r="U180" s="238">
        <f t="shared" si="365"/>
        <v>0</v>
      </c>
      <c r="V180" s="16"/>
      <c r="W180" s="308"/>
      <c r="X180" s="56"/>
      <c r="Y180" s="57"/>
      <c r="Z180" s="29"/>
      <c r="AA180" s="29"/>
      <c r="AB180" s="29"/>
      <c r="AC180" s="29"/>
      <c r="AD180" s="29"/>
      <c r="AE180" s="29"/>
      <c r="AF180" s="238">
        <f t="shared" si="366"/>
        <v>0</v>
      </c>
    </row>
    <row r="181" spans="1:32" x14ac:dyDescent="0.2">
      <c r="A181" s="308"/>
      <c r="B181" s="56"/>
      <c r="C181" s="266"/>
      <c r="D181" s="261"/>
      <c r="E181" s="29"/>
      <c r="F181" s="29"/>
      <c r="G181" s="29"/>
      <c r="H181" s="29"/>
      <c r="I181" s="262"/>
      <c r="J181" s="50">
        <f t="shared" si="364"/>
        <v>0</v>
      </c>
      <c r="L181" s="308"/>
      <c r="M181" s="56"/>
      <c r="N181" s="57"/>
      <c r="O181" s="29"/>
      <c r="P181" s="29"/>
      <c r="Q181" s="29"/>
      <c r="R181" s="29"/>
      <c r="S181" s="29"/>
      <c r="T181" s="29"/>
      <c r="U181" s="238">
        <f t="shared" si="365"/>
        <v>0</v>
      </c>
      <c r="V181" s="16"/>
      <c r="W181" s="308"/>
      <c r="X181" s="56"/>
      <c r="Y181" s="57"/>
      <c r="Z181" s="29"/>
      <c r="AA181" s="29"/>
      <c r="AB181" s="29"/>
      <c r="AC181" s="29"/>
      <c r="AD181" s="29"/>
      <c r="AE181" s="29"/>
      <c r="AF181" s="238">
        <f t="shared" si="366"/>
        <v>0</v>
      </c>
    </row>
    <row r="182" spans="1:32" x14ac:dyDescent="0.2">
      <c r="A182" s="308"/>
      <c r="B182" s="77"/>
      <c r="C182" s="15"/>
      <c r="D182" s="261"/>
      <c r="E182" s="29"/>
      <c r="F182" s="29"/>
      <c r="G182" s="29"/>
      <c r="H182" s="29"/>
      <c r="I182" s="262"/>
      <c r="J182" s="50">
        <f t="shared" si="364"/>
        <v>0</v>
      </c>
      <c r="L182" s="308"/>
      <c r="M182" s="77"/>
      <c r="N182" s="78"/>
      <c r="O182" s="29"/>
      <c r="P182" s="29"/>
      <c r="Q182" s="29"/>
      <c r="R182" s="29"/>
      <c r="S182" s="29"/>
      <c r="T182" s="29"/>
      <c r="U182" s="238">
        <f t="shared" si="365"/>
        <v>0</v>
      </c>
      <c r="V182" s="16"/>
      <c r="W182" s="308"/>
      <c r="X182" s="77"/>
      <c r="Y182" s="78"/>
      <c r="Z182" s="29"/>
      <c r="AA182" s="29"/>
      <c r="AB182" s="29"/>
      <c r="AC182" s="29"/>
      <c r="AD182" s="29"/>
      <c r="AE182" s="29"/>
      <c r="AF182" s="238">
        <f t="shared" si="366"/>
        <v>0</v>
      </c>
    </row>
    <row r="183" spans="1:32" x14ac:dyDescent="0.2">
      <c r="A183" s="308"/>
      <c r="B183" s="56"/>
      <c r="C183" s="266"/>
      <c r="D183" s="261"/>
      <c r="E183" s="29"/>
      <c r="F183" s="29"/>
      <c r="G183" s="29"/>
      <c r="H183" s="29"/>
      <c r="I183" s="262"/>
      <c r="J183" s="50">
        <f t="shared" si="364"/>
        <v>0</v>
      </c>
      <c r="L183" s="308"/>
      <c r="M183" s="56"/>
      <c r="N183" s="57"/>
      <c r="O183" s="29"/>
      <c r="P183" s="29"/>
      <c r="Q183" s="29"/>
      <c r="R183" s="29"/>
      <c r="S183" s="29"/>
      <c r="T183" s="29"/>
      <c r="U183" s="238">
        <f t="shared" si="365"/>
        <v>0</v>
      </c>
      <c r="V183" s="16"/>
      <c r="W183" s="308"/>
      <c r="X183" s="56"/>
      <c r="Y183" s="57"/>
      <c r="Z183" s="29"/>
      <c r="AA183" s="29"/>
      <c r="AB183" s="29"/>
      <c r="AC183" s="29"/>
      <c r="AD183" s="29"/>
      <c r="AE183" s="29"/>
      <c r="AF183" s="238">
        <f t="shared" si="366"/>
        <v>0</v>
      </c>
    </row>
    <row r="184" spans="1:32" x14ac:dyDescent="0.2">
      <c r="A184" s="308"/>
      <c r="B184" s="77"/>
      <c r="C184" s="15"/>
      <c r="D184" s="261"/>
      <c r="E184" s="29"/>
      <c r="F184" s="29"/>
      <c r="G184" s="29"/>
      <c r="H184" s="29"/>
      <c r="I184" s="262"/>
      <c r="J184" s="50">
        <f t="shared" si="364"/>
        <v>0</v>
      </c>
      <c r="L184" s="308"/>
      <c r="M184" s="77"/>
      <c r="N184" s="78"/>
      <c r="O184" s="29"/>
      <c r="P184" s="29"/>
      <c r="Q184" s="29"/>
      <c r="R184" s="29"/>
      <c r="S184" s="29"/>
      <c r="T184" s="29"/>
      <c r="U184" s="238">
        <f t="shared" si="365"/>
        <v>0</v>
      </c>
      <c r="V184" s="16"/>
      <c r="W184" s="308"/>
      <c r="X184" s="77"/>
      <c r="Y184" s="78"/>
      <c r="Z184" s="29"/>
      <c r="AA184" s="29"/>
      <c r="AB184" s="29"/>
      <c r="AC184" s="29"/>
      <c r="AD184" s="29"/>
      <c r="AE184" s="29"/>
      <c r="AF184" s="238">
        <f t="shared" si="366"/>
        <v>0</v>
      </c>
    </row>
    <row r="185" spans="1:32" x14ac:dyDescent="0.2">
      <c r="A185" s="308"/>
      <c r="B185" s="56"/>
      <c r="C185" s="266"/>
      <c r="D185" s="261"/>
      <c r="E185" s="29"/>
      <c r="F185" s="29"/>
      <c r="G185" s="29"/>
      <c r="H185" s="29"/>
      <c r="I185" s="262"/>
      <c r="J185" s="50">
        <f t="shared" si="364"/>
        <v>0</v>
      </c>
      <c r="L185" s="308"/>
      <c r="M185" s="56"/>
      <c r="N185" s="57"/>
      <c r="O185" s="29"/>
      <c r="P185" s="29"/>
      <c r="Q185" s="29"/>
      <c r="R185" s="29"/>
      <c r="S185" s="29"/>
      <c r="T185" s="29"/>
      <c r="U185" s="238">
        <f t="shared" si="365"/>
        <v>0</v>
      </c>
      <c r="V185" s="16"/>
      <c r="W185" s="308"/>
      <c r="X185" s="56"/>
      <c r="Y185" s="57"/>
      <c r="Z185" s="29"/>
      <c r="AA185" s="29"/>
      <c r="AB185" s="29"/>
      <c r="AC185" s="29"/>
      <c r="AD185" s="29"/>
      <c r="AE185" s="29"/>
      <c r="AF185" s="238">
        <f t="shared" si="366"/>
        <v>0</v>
      </c>
    </row>
    <row r="186" spans="1:32" x14ac:dyDescent="0.2">
      <c r="A186" s="308"/>
      <c r="B186" s="77"/>
      <c r="C186" s="15"/>
      <c r="D186" s="261"/>
      <c r="E186" s="29"/>
      <c r="F186" s="29"/>
      <c r="G186" s="29"/>
      <c r="H186" s="29"/>
      <c r="I186" s="262"/>
      <c r="J186" s="50">
        <f t="shared" si="364"/>
        <v>0</v>
      </c>
      <c r="L186" s="308"/>
      <c r="M186" s="77"/>
      <c r="N186" s="78"/>
      <c r="O186" s="29"/>
      <c r="P186" s="29"/>
      <c r="Q186" s="29"/>
      <c r="R186" s="29"/>
      <c r="S186" s="29"/>
      <c r="T186" s="29"/>
      <c r="U186" s="238">
        <f t="shared" si="365"/>
        <v>0</v>
      </c>
      <c r="V186" s="16"/>
      <c r="W186" s="308"/>
      <c r="X186" s="77"/>
      <c r="Y186" s="78"/>
      <c r="Z186" s="29"/>
      <c r="AA186" s="29"/>
      <c r="AB186" s="29"/>
      <c r="AC186" s="29"/>
      <c r="AD186" s="29"/>
      <c r="AE186" s="29"/>
      <c r="AF186" s="238">
        <f t="shared" si="366"/>
        <v>0</v>
      </c>
    </row>
    <row r="187" spans="1:32" ht="16" thickBot="1" x14ac:dyDescent="0.25">
      <c r="A187" s="308"/>
      <c r="B187" s="81"/>
      <c r="C187" s="255"/>
      <c r="D187" s="263"/>
      <c r="E187" s="264"/>
      <c r="F187" s="264"/>
      <c r="G187" s="264"/>
      <c r="H187" s="264"/>
      <c r="I187" s="265"/>
      <c r="J187" s="50">
        <f t="shared" si="364"/>
        <v>0</v>
      </c>
      <c r="L187" s="308"/>
      <c r="M187" s="81"/>
      <c r="N187" s="82"/>
      <c r="O187" s="29"/>
      <c r="P187" s="29"/>
      <c r="Q187" s="29"/>
      <c r="R187" s="29"/>
      <c r="S187" s="29"/>
      <c r="T187" s="29"/>
      <c r="U187" s="239">
        <f t="shared" si="365"/>
        <v>0</v>
      </c>
      <c r="V187" s="16"/>
      <c r="W187" s="308"/>
      <c r="X187" s="81"/>
      <c r="Y187" s="82"/>
      <c r="Z187" s="29"/>
      <c r="AA187" s="29"/>
      <c r="AB187" s="29"/>
      <c r="AC187" s="29"/>
      <c r="AD187" s="29"/>
      <c r="AE187" s="29"/>
      <c r="AF187" s="239">
        <f t="shared" si="366"/>
        <v>0</v>
      </c>
    </row>
    <row r="188" spans="1:32" ht="16" thickBot="1" x14ac:dyDescent="0.25">
      <c r="A188" s="308"/>
      <c r="B188" s="17" t="s">
        <v>32</v>
      </c>
      <c r="C188" s="17"/>
      <c r="D188" s="257">
        <f t="shared" ref="D188:I188" si="367">ROUND(SUM(D175:D187),0)</f>
        <v>0</v>
      </c>
      <c r="E188" s="257">
        <f t="shared" si="367"/>
        <v>0</v>
      </c>
      <c r="F188" s="257">
        <f t="shared" si="367"/>
        <v>0</v>
      </c>
      <c r="G188" s="257">
        <f t="shared" si="367"/>
        <v>0</v>
      </c>
      <c r="H188" s="257">
        <f t="shared" si="367"/>
        <v>0</v>
      </c>
      <c r="I188" s="257">
        <f t="shared" si="367"/>
        <v>0</v>
      </c>
      <c r="J188" s="54">
        <f t="shared" si="364"/>
        <v>0</v>
      </c>
      <c r="L188" s="308"/>
      <c r="M188" s="17" t="s">
        <v>32</v>
      </c>
      <c r="N188" s="17"/>
      <c r="O188" s="28">
        <f t="shared" ref="O188:T188" si="368">ROUND(SUM(O175:O187),0)</f>
        <v>0</v>
      </c>
      <c r="P188" s="28">
        <f t="shared" si="368"/>
        <v>0</v>
      </c>
      <c r="Q188" s="28">
        <f t="shared" si="368"/>
        <v>0</v>
      </c>
      <c r="R188" s="28">
        <f t="shared" si="368"/>
        <v>0</v>
      </c>
      <c r="S188" s="28">
        <f t="shared" si="368"/>
        <v>0</v>
      </c>
      <c r="T188" s="28">
        <f t="shared" si="368"/>
        <v>0</v>
      </c>
      <c r="U188" s="257">
        <f t="shared" si="365"/>
        <v>0</v>
      </c>
      <c r="V188" s="22"/>
      <c r="W188" s="308"/>
      <c r="X188" s="17" t="s">
        <v>32</v>
      </c>
      <c r="Y188" s="17"/>
      <c r="Z188" s="28">
        <f t="shared" ref="Z188:AE188" si="369">ROUND(SUM(Z175:Z187),0)</f>
        <v>0</v>
      </c>
      <c r="AA188" s="28">
        <f t="shared" si="369"/>
        <v>0</v>
      </c>
      <c r="AB188" s="28">
        <f t="shared" si="369"/>
        <v>0</v>
      </c>
      <c r="AC188" s="28">
        <f t="shared" si="369"/>
        <v>0</v>
      </c>
      <c r="AD188" s="28">
        <f t="shared" si="369"/>
        <v>0</v>
      </c>
      <c r="AE188" s="28">
        <f t="shared" si="369"/>
        <v>0</v>
      </c>
      <c r="AF188" s="257">
        <f t="shared" si="366"/>
        <v>0</v>
      </c>
    </row>
    <row r="189" spans="1:32" x14ac:dyDescent="0.2">
      <c r="A189" s="304" t="s">
        <v>18</v>
      </c>
      <c r="B189" s="37"/>
      <c r="C189" s="37"/>
      <c r="D189" s="13">
        <f t="shared" ref="D189:I189" si="370">D136</f>
        <v>2019</v>
      </c>
      <c r="E189" s="13">
        <f t="shared" si="370"/>
        <v>2020</v>
      </c>
      <c r="F189" s="13">
        <f t="shared" si="370"/>
        <v>2021</v>
      </c>
      <c r="G189" s="13">
        <f t="shared" si="370"/>
        <v>2022</v>
      </c>
      <c r="H189" s="13">
        <f t="shared" si="370"/>
        <v>2023</v>
      </c>
      <c r="I189" s="13">
        <f t="shared" si="370"/>
        <v>2024</v>
      </c>
      <c r="J189" s="46" t="s">
        <v>0</v>
      </c>
      <c r="L189" s="304" t="s">
        <v>18</v>
      </c>
      <c r="M189" s="37"/>
      <c r="N189" s="37"/>
      <c r="O189" s="13">
        <f t="shared" ref="O189:T189" si="371">O136</f>
        <v>2019</v>
      </c>
      <c r="P189" s="13">
        <f t="shared" si="371"/>
        <v>2020</v>
      </c>
      <c r="Q189" s="13">
        <f t="shared" si="371"/>
        <v>2021</v>
      </c>
      <c r="R189" s="13">
        <f t="shared" si="371"/>
        <v>2022</v>
      </c>
      <c r="S189" s="13">
        <f t="shared" si="371"/>
        <v>2023</v>
      </c>
      <c r="T189" s="13">
        <f t="shared" si="371"/>
        <v>2024</v>
      </c>
      <c r="U189" s="13" t="s">
        <v>0</v>
      </c>
      <c r="V189" s="14"/>
      <c r="W189" s="304" t="s">
        <v>18</v>
      </c>
      <c r="X189" s="37"/>
      <c r="Y189" s="37"/>
      <c r="Z189" s="13">
        <f t="shared" ref="Z189:AE189" si="372">Z136</f>
        <v>2019</v>
      </c>
      <c r="AA189" s="13">
        <f t="shared" si="372"/>
        <v>2020</v>
      </c>
      <c r="AB189" s="13">
        <f t="shared" si="372"/>
        <v>2021</v>
      </c>
      <c r="AC189" s="13">
        <f t="shared" si="372"/>
        <v>2022</v>
      </c>
      <c r="AD189" s="13">
        <f t="shared" si="372"/>
        <v>2023</v>
      </c>
      <c r="AE189" s="13">
        <f t="shared" si="372"/>
        <v>2024</v>
      </c>
      <c r="AF189" s="13" t="s">
        <v>0</v>
      </c>
    </row>
    <row r="190" spans="1:32" x14ac:dyDescent="0.2">
      <c r="A190" s="305"/>
      <c r="B190" s="33" t="s">
        <v>19</v>
      </c>
      <c r="C190" s="33"/>
      <c r="D190" s="22">
        <f t="shared" ref="D190:I190" si="373">D168+D173+D188</f>
        <v>0</v>
      </c>
      <c r="E190" s="22">
        <f t="shared" si="373"/>
        <v>0</v>
      </c>
      <c r="F190" s="22">
        <f t="shared" si="373"/>
        <v>0</v>
      </c>
      <c r="G190" s="22">
        <f t="shared" si="373"/>
        <v>0</v>
      </c>
      <c r="H190" s="22">
        <f t="shared" si="373"/>
        <v>0</v>
      </c>
      <c r="I190" s="22">
        <f t="shared" si="373"/>
        <v>0</v>
      </c>
      <c r="J190" s="50">
        <f>SUM(D190:I190)</f>
        <v>0</v>
      </c>
      <c r="L190" s="305"/>
      <c r="M190" s="33" t="s">
        <v>19</v>
      </c>
      <c r="N190" s="33"/>
      <c r="O190" s="22">
        <f t="shared" ref="O190:T190" si="374">O168+O173+O188</f>
        <v>0</v>
      </c>
      <c r="P190" s="22">
        <f t="shared" si="374"/>
        <v>0</v>
      </c>
      <c r="Q190" s="22">
        <f t="shared" si="374"/>
        <v>0</v>
      </c>
      <c r="R190" s="22">
        <f t="shared" si="374"/>
        <v>0</v>
      </c>
      <c r="S190" s="22">
        <f t="shared" si="374"/>
        <v>0</v>
      </c>
      <c r="T190" s="22">
        <f t="shared" si="374"/>
        <v>0</v>
      </c>
      <c r="U190" s="22">
        <f>SUM(O190:T190)</f>
        <v>0</v>
      </c>
      <c r="V190" s="22"/>
      <c r="W190" s="305"/>
      <c r="X190" s="33" t="s">
        <v>19</v>
      </c>
      <c r="Y190" s="33"/>
      <c r="Z190" s="22">
        <f t="shared" ref="Z190:AE190" si="375">Z168+Z173+Z188</f>
        <v>0</v>
      </c>
      <c r="AA190" s="22">
        <f t="shared" si="375"/>
        <v>0</v>
      </c>
      <c r="AB190" s="22">
        <f t="shared" si="375"/>
        <v>0</v>
      </c>
      <c r="AC190" s="22">
        <f t="shared" si="375"/>
        <v>0</v>
      </c>
      <c r="AD190" s="22">
        <f t="shared" si="375"/>
        <v>0</v>
      </c>
      <c r="AE190" s="22">
        <f t="shared" si="375"/>
        <v>0</v>
      </c>
      <c r="AF190" s="22">
        <f>SUM(Z190:AE190)</f>
        <v>0</v>
      </c>
    </row>
    <row r="191" spans="1:32" x14ac:dyDescent="0.2">
      <c r="A191" s="305"/>
      <c r="B191" s="33" t="s">
        <v>1</v>
      </c>
      <c r="C191" s="34">
        <v>0.44</v>
      </c>
      <c r="D191" s="22">
        <f>D190*$C$191</f>
        <v>0</v>
      </c>
      <c r="E191" s="22">
        <f t="shared" ref="E191:I191" si="376">E190*$C$191</f>
        <v>0</v>
      </c>
      <c r="F191" s="22">
        <f t="shared" si="376"/>
        <v>0</v>
      </c>
      <c r="G191" s="22">
        <f t="shared" si="376"/>
        <v>0</v>
      </c>
      <c r="H191" s="22">
        <f t="shared" si="376"/>
        <v>0</v>
      </c>
      <c r="I191" s="22">
        <f t="shared" si="376"/>
        <v>0</v>
      </c>
      <c r="J191" s="50">
        <f>SUM(D191:I191)</f>
        <v>0</v>
      </c>
      <c r="L191" s="305"/>
      <c r="M191" s="33" t="s">
        <v>1</v>
      </c>
      <c r="N191" s="34">
        <v>0</v>
      </c>
      <c r="O191" s="22">
        <f>O190*$N191</f>
        <v>0</v>
      </c>
      <c r="P191" s="22">
        <f t="shared" ref="P191" si="377">P190*$N191</f>
        <v>0</v>
      </c>
      <c r="Q191" s="22">
        <f t="shared" ref="Q191" si="378">Q190*$N191</f>
        <v>0</v>
      </c>
      <c r="R191" s="22">
        <f t="shared" ref="R191" si="379">R190*$N191</f>
        <v>0</v>
      </c>
      <c r="S191" s="22">
        <f t="shared" ref="S191" si="380">S190*$N191</f>
        <v>0</v>
      </c>
      <c r="T191" s="22">
        <f t="shared" ref="T191" si="381">T190*$N191</f>
        <v>0</v>
      </c>
      <c r="U191" s="22">
        <f>SUM(O191:T191)</f>
        <v>0</v>
      </c>
      <c r="V191" s="22"/>
      <c r="W191" s="305"/>
      <c r="X191" s="33" t="s">
        <v>1</v>
      </c>
      <c r="Y191" s="34">
        <v>0</v>
      </c>
      <c r="Z191" s="22">
        <f>Z190*$Y191</f>
        <v>0</v>
      </c>
      <c r="AA191" s="22">
        <f t="shared" ref="AA191" si="382">AA190*$Y191</f>
        <v>0</v>
      </c>
      <c r="AB191" s="22">
        <f t="shared" ref="AB191" si="383">AB190*$Y191</f>
        <v>0</v>
      </c>
      <c r="AC191" s="22">
        <f t="shared" ref="AC191" si="384">AC190*$Y191</f>
        <v>0</v>
      </c>
      <c r="AD191" s="22">
        <f t="shared" ref="AD191" si="385">AD190*$Y191</f>
        <v>0</v>
      </c>
      <c r="AE191" s="22">
        <f t="shared" ref="AE191" si="386">AE190*$Y191</f>
        <v>0</v>
      </c>
      <c r="AF191" s="22">
        <f>SUM(Z191:AE191)</f>
        <v>0</v>
      </c>
    </row>
    <row r="192" spans="1:32" ht="16" thickBot="1" x14ac:dyDescent="0.25">
      <c r="A192" s="306"/>
      <c r="B192" s="17" t="s">
        <v>20</v>
      </c>
      <c r="C192" s="17"/>
      <c r="D192" s="28">
        <f t="shared" ref="D192:I192" si="387">SUM(D190:D191)</f>
        <v>0</v>
      </c>
      <c r="E192" s="28">
        <f t="shared" si="387"/>
        <v>0</v>
      </c>
      <c r="F192" s="28">
        <f t="shared" si="387"/>
        <v>0</v>
      </c>
      <c r="G192" s="28">
        <f t="shared" si="387"/>
        <v>0</v>
      </c>
      <c r="H192" s="28">
        <f t="shared" si="387"/>
        <v>0</v>
      </c>
      <c r="I192" s="28">
        <f t="shared" si="387"/>
        <v>0</v>
      </c>
      <c r="J192" s="54">
        <f>SUM(D192:I192)</f>
        <v>0</v>
      </c>
      <c r="L192" s="306"/>
      <c r="M192" s="17" t="s">
        <v>20</v>
      </c>
      <c r="N192" s="17"/>
      <c r="O192" s="28">
        <f t="shared" ref="O192:T192" si="388">SUM(O190:O191)</f>
        <v>0</v>
      </c>
      <c r="P192" s="28">
        <f t="shared" si="388"/>
        <v>0</v>
      </c>
      <c r="Q192" s="28">
        <f t="shared" si="388"/>
        <v>0</v>
      </c>
      <c r="R192" s="28">
        <f t="shared" si="388"/>
        <v>0</v>
      </c>
      <c r="S192" s="28">
        <f t="shared" si="388"/>
        <v>0</v>
      </c>
      <c r="T192" s="28">
        <f t="shared" si="388"/>
        <v>0</v>
      </c>
      <c r="U192" s="28">
        <f>SUM(O192:T192)</f>
        <v>0</v>
      </c>
      <c r="V192" s="22"/>
      <c r="W192" s="306"/>
      <c r="X192" s="17" t="s">
        <v>20</v>
      </c>
      <c r="Y192" s="17"/>
      <c r="Z192" s="28">
        <f t="shared" ref="Z192:AE192" si="389">SUM(Z190:Z191)</f>
        <v>0</v>
      </c>
      <c r="AA192" s="28">
        <f t="shared" si="389"/>
        <v>0</v>
      </c>
      <c r="AB192" s="28">
        <f t="shared" si="389"/>
        <v>0</v>
      </c>
      <c r="AC192" s="28">
        <f t="shared" si="389"/>
        <v>0</v>
      </c>
      <c r="AD192" s="28">
        <f t="shared" si="389"/>
        <v>0</v>
      </c>
      <c r="AE192" s="28">
        <f t="shared" si="389"/>
        <v>0</v>
      </c>
      <c r="AF192" s="28">
        <f>SUM(Z192:AE192)</f>
        <v>0</v>
      </c>
    </row>
    <row r="193" spans="1:32" x14ac:dyDescent="0.2">
      <c r="A193" s="42"/>
      <c r="B193" s="33" t="s">
        <v>71</v>
      </c>
      <c r="C193" s="33"/>
      <c r="E193" s="22">
        <f>J192+U192+AF192</f>
        <v>0</v>
      </c>
      <c r="F193" s="22"/>
      <c r="G193" s="22"/>
      <c r="H193" s="22"/>
      <c r="I193" s="22"/>
      <c r="J193" s="22"/>
      <c r="L193" s="42"/>
      <c r="M193" s="33"/>
      <c r="N193" s="33"/>
      <c r="O193" s="22"/>
      <c r="P193" s="22"/>
      <c r="Q193" s="22"/>
      <c r="R193" s="22"/>
      <c r="S193" s="22"/>
      <c r="T193" s="22"/>
      <c r="U193" s="22"/>
      <c r="V193" s="22"/>
      <c r="W193" s="42"/>
      <c r="X193" s="33"/>
      <c r="Y193" s="33"/>
      <c r="Z193" s="22"/>
      <c r="AA193" s="22"/>
      <c r="AB193" s="22"/>
      <c r="AC193" s="22"/>
      <c r="AD193" s="22"/>
      <c r="AE193" s="22"/>
      <c r="AF193" s="22"/>
    </row>
    <row r="194" spans="1:32" x14ac:dyDescent="0.2">
      <c r="A194" s="42"/>
      <c r="B194" s="33" t="s">
        <v>72</v>
      </c>
      <c r="C194" s="33"/>
      <c r="D194" s="22"/>
      <c r="E194" s="22">
        <f>J190+U190+AF190</f>
        <v>0</v>
      </c>
      <c r="F194" s="22"/>
      <c r="G194" s="22"/>
      <c r="H194" s="22"/>
      <c r="I194" s="22"/>
      <c r="J194" s="22"/>
      <c r="L194" s="42"/>
      <c r="M194" s="33"/>
      <c r="N194" s="33"/>
      <c r="O194" s="22"/>
      <c r="P194" s="22"/>
      <c r="Q194" s="22"/>
      <c r="R194" s="22"/>
      <c r="S194" s="22"/>
      <c r="T194" s="22"/>
      <c r="U194" s="22"/>
      <c r="V194" s="22"/>
      <c r="W194" s="42"/>
      <c r="X194" s="33"/>
      <c r="Y194" s="33"/>
      <c r="Z194" s="22"/>
      <c r="AA194" s="22"/>
      <c r="AB194" s="22"/>
      <c r="AC194" s="22"/>
      <c r="AD194" s="22"/>
      <c r="AE194" s="22"/>
      <c r="AF194" s="22"/>
    </row>
    <row r="196" spans="1:32" ht="32" thickBot="1" x14ac:dyDescent="0.25">
      <c r="A196" s="6"/>
      <c r="B196" s="6" t="s">
        <v>88</v>
      </c>
      <c r="C196" s="216"/>
      <c r="D196" s="216" t="s">
        <v>23</v>
      </c>
      <c r="E196" s="216"/>
      <c r="F196" s="216"/>
      <c r="G196" s="216"/>
      <c r="H196" s="216"/>
      <c r="I196" s="216"/>
      <c r="J196" s="216"/>
      <c r="K196" s="7"/>
      <c r="L196" s="322"/>
      <c r="M196" s="322"/>
      <c r="N196" s="322"/>
      <c r="O196" s="322"/>
      <c r="P196" s="322"/>
      <c r="Q196" s="322"/>
      <c r="R196" s="322"/>
      <c r="S196" s="322"/>
      <c r="T196" s="322"/>
      <c r="U196" s="322"/>
      <c r="V196" s="6"/>
      <c r="W196" s="8"/>
      <c r="X196" s="9"/>
      <c r="Y196" s="9"/>
      <c r="Z196" s="9"/>
      <c r="AA196" s="9"/>
      <c r="AB196" s="9"/>
      <c r="AC196" s="9"/>
      <c r="AD196" s="9"/>
      <c r="AE196" s="9"/>
      <c r="AF196" s="9"/>
    </row>
    <row r="197" spans="1:32" ht="27" hidden="1" thickBot="1" x14ac:dyDescent="0.25">
      <c r="A197" s="323" t="s">
        <v>26</v>
      </c>
      <c r="B197" s="323"/>
      <c r="C197" s="323"/>
      <c r="D197" s="323"/>
      <c r="E197" s="323"/>
      <c r="F197" s="323"/>
      <c r="G197" s="323"/>
      <c r="H197" s="323"/>
      <c r="I197" s="323"/>
      <c r="J197" s="323"/>
      <c r="L197" s="324" t="s">
        <v>28</v>
      </c>
      <c r="M197" s="324"/>
      <c r="N197" s="324"/>
      <c r="O197" s="324"/>
      <c r="P197" s="324"/>
      <c r="Q197" s="324"/>
      <c r="R197" s="324"/>
      <c r="S197" s="324"/>
      <c r="T197" s="324"/>
      <c r="U197" s="324"/>
      <c r="V197" s="10"/>
      <c r="W197" s="324" t="s">
        <v>27</v>
      </c>
      <c r="X197" s="324"/>
      <c r="Y197" s="324"/>
      <c r="Z197" s="324"/>
      <c r="AA197" s="324"/>
      <c r="AB197" s="324"/>
      <c r="AC197" s="324"/>
      <c r="AD197" s="324"/>
      <c r="AE197" s="324"/>
      <c r="AF197" s="324"/>
    </row>
    <row r="198" spans="1:32" ht="27" thickBot="1" x14ac:dyDescent="0.25">
      <c r="A198" s="313" t="s">
        <v>25</v>
      </c>
      <c r="B198" s="313"/>
      <c r="C198" s="313"/>
      <c r="D198" s="313"/>
      <c r="E198" s="313"/>
      <c r="F198" s="313"/>
      <c r="G198" s="313"/>
      <c r="H198" s="313"/>
      <c r="I198" s="313"/>
      <c r="J198" s="325"/>
      <c r="L198" s="315" t="s">
        <v>6</v>
      </c>
      <c r="M198" s="315"/>
      <c r="N198" s="315"/>
      <c r="O198" s="315"/>
      <c r="P198" s="315"/>
      <c r="Q198" s="315"/>
      <c r="R198" s="315"/>
      <c r="S198" s="315"/>
      <c r="T198" s="315"/>
      <c r="U198" s="315"/>
      <c r="V198" s="11"/>
      <c r="W198" s="316" t="s">
        <v>7</v>
      </c>
      <c r="X198" s="316"/>
      <c r="Y198" s="316"/>
      <c r="Z198" s="316"/>
      <c r="AA198" s="316"/>
      <c r="AB198" s="316"/>
      <c r="AC198" s="316"/>
      <c r="AD198" s="316"/>
      <c r="AE198" s="316"/>
      <c r="AF198" s="316"/>
    </row>
    <row r="199" spans="1:32" x14ac:dyDescent="0.2">
      <c r="A199" s="307" t="s">
        <v>8</v>
      </c>
      <c r="B199" s="318" t="s">
        <v>9</v>
      </c>
      <c r="C199" s="319"/>
      <c r="D199" s="12">
        <v>2019</v>
      </c>
      <c r="E199" s="12">
        <v>2020</v>
      </c>
      <c r="F199" s="12">
        <v>2021</v>
      </c>
      <c r="G199" s="12">
        <v>2022</v>
      </c>
      <c r="H199" s="12">
        <v>2023</v>
      </c>
      <c r="I199" s="12">
        <v>2024</v>
      </c>
      <c r="J199" s="46" t="s">
        <v>0</v>
      </c>
      <c r="L199" s="307" t="s">
        <v>8</v>
      </c>
      <c r="M199" s="318" t="s">
        <v>9</v>
      </c>
      <c r="N199" s="319"/>
      <c r="O199" s="12">
        <v>2019</v>
      </c>
      <c r="P199" s="12">
        <v>2020</v>
      </c>
      <c r="Q199" s="12">
        <v>2021</v>
      </c>
      <c r="R199" s="12">
        <v>2022</v>
      </c>
      <c r="S199" s="12">
        <v>2023</v>
      </c>
      <c r="T199" s="12">
        <v>2024</v>
      </c>
      <c r="U199" s="13" t="s">
        <v>0</v>
      </c>
      <c r="V199" s="14"/>
      <c r="W199" s="307" t="s">
        <v>8</v>
      </c>
      <c r="X199" s="318" t="s">
        <v>9</v>
      </c>
      <c r="Y199" s="319"/>
      <c r="Z199" s="12">
        <v>2019</v>
      </c>
      <c r="AA199" s="12">
        <v>2020</v>
      </c>
      <c r="AB199" s="12">
        <v>2021</v>
      </c>
      <c r="AC199" s="12">
        <v>2022</v>
      </c>
      <c r="AD199" s="12">
        <v>2023</v>
      </c>
      <c r="AE199" s="12">
        <v>2024</v>
      </c>
      <c r="AF199" s="13" t="s">
        <v>0</v>
      </c>
    </row>
    <row r="200" spans="1:32" ht="16" thickBot="1" x14ac:dyDescent="0.25">
      <c r="A200" s="308"/>
      <c r="B200" s="326" t="s">
        <v>29</v>
      </c>
      <c r="C200" s="327"/>
      <c r="D200" s="38"/>
      <c r="E200" s="38"/>
      <c r="F200" s="38"/>
      <c r="G200" s="38"/>
      <c r="H200" s="38"/>
      <c r="I200" s="38"/>
      <c r="J200" s="48">
        <f>SUM(J201:J209)</f>
        <v>0</v>
      </c>
      <c r="L200" s="308"/>
      <c r="M200" s="311" t="s">
        <v>29</v>
      </c>
      <c r="N200" s="312"/>
      <c r="O200" s="38"/>
      <c r="P200" s="38"/>
      <c r="Q200" s="38"/>
      <c r="R200" s="38"/>
      <c r="S200" s="38"/>
      <c r="T200" s="38"/>
      <c r="U200" s="39">
        <f>SUM(U201:U209)</f>
        <v>0</v>
      </c>
      <c r="V200" s="16"/>
      <c r="W200" s="308"/>
      <c r="X200" s="311" t="s">
        <v>29</v>
      </c>
      <c r="Y200" s="312"/>
      <c r="Z200" s="38"/>
      <c r="AA200" s="38"/>
      <c r="AB200" s="38"/>
      <c r="AC200" s="38"/>
      <c r="AD200" s="38"/>
      <c r="AE200" s="38"/>
      <c r="AF200" s="39">
        <f>SUM(AF201:AF209)</f>
        <v>0</v>
      </c>
    </row>
    <row r="201" spans="1:32" x14ac:dyDescent="0.2">
      <c r="A201" s="317"/>
      <c r="B201" s="219"/>
      <c r="C201" s="220"/>
      <c r="D201" s="15"/>
      <c r="E201" s="15"/>
      <c r="F201" s="15"/>
      <c r="G201" s="15"/>
      <c r="H201" s="15"/>
      <c r="I201" s="15"/>
      <c r="J201" s="228">
        <f t="shared" ref="J201:J209" si="390">SUM(D201:I201)</f>
        <v>0</v>
      </c>
      <c r="L201" s="308"/>
      <c r="M201" s="86">
        <f>$B201</f>
        <v>0</v>
      </c>
      <c r="N201" s="87"/>
      <c r="O201" s="15"/>
      <c r="P201" s="15"/>
      <c r="Q201" s="15"/>
      <c r="R201" s="15"/>
      <c r="S201" s="15"/>
      <c r="T201" s="15"/>
      <c r="U201" s="228">
        <f t="shared" ref="U201:U209" si="391">SUM(O201:T201)</f>
        <v>0</v>
      </c>
      <c r="V201" s="16"/>
      <c r="W201" s="308"/>
      <c r="X201" s="86">
        <f>$B201</f>
        <v>0</v>
      </c>
      <c r="Y201" s="87"/>
      <c r="Z201" s="15"/>
      <c r="AA201" s="15"/>
      <c r="AB201" s="15"/>
      <c r="AC201" s="15"/>
      <c r="AD201" s="15"/>
      <c r="AE201" s="15"/>
      <c r="AF201" s="228">
        <f t="shared" ref="AF201:AF209" si="392">SUM(Z201:AE201)</f>
        <v>0</v>
      </c>
    </row>
    <row r="202" spans="1:32" x14ac:dyDescent="0.2">
      <c r="A202" s="317"/>
      <c r="B202" s="221"/>
      <c r="C202" s="222"/>
      <c r="D202" s="15"/>
      <c r="E202" s="15"/>
      <c r="F202" s="15"/>
      <c r="G202" s="15"/>
      <c r="H202" s="15"/>
      <c r="I202" s="15"/>
      <c r="J202" s="229">
        <f t="shared" si="390"/>
        <v>0</v>
      </c>
      <c r="L202" s="308"/>
      <c r="M202" s="88">
        <f t="shared" ref="M202:M209" si="393">$B202</f>
        <v>0</v>
      </c>
      <c r="N202" s="89"/>
      <c r="O202" s="15"/>
      <c r="P202" s="15"/>
      <c r="Q202" s="15"/>
      <c r="R202" s="15"/>
      <c r="S202" s="15"/>
      <c r="T202" s="15"/>
      <c r="U202" s="229">
        <f t="shared" si="391"/>
        <v>0</v>
      </c>
      <c r="V202" s="16"/>
      <c r="W202" s="308"/>
      <c r="X202" s="88">
        <f t="shared" ref="X202:X209" si="394">$B202</f>
        <v>0</v>
      </c>
      <c r="Y202" s="89"/>
      <c r="Z202" s="15"/>
      <c r="AA202" s="15"/>
      <c r="AB202" s="15"/>
      <c r="AC202" s="15"/>
      <c r="AD202" s="15"/>
      <c r="AE202" s="15"/>
      <c r="AF202" s="229">
        <f t="shared" si="392"/>
        <v>0</v>
      </c>
    </row>
    <row r="203" spans="1:32" x14ac:dyDescent="0.2">
      <c r="A203" s="317"/>
      <c r="B203" s="221"/>
      <c r="C203" s="222"/>
      <c r="D203" s="15"/>
      <c r="E203" s="15"/>
      <c r="F203" s="15"/>
      <c r="G203" s="15"/>
      <c r="H203" s="15"/>
      <c r="I203" s="15"/>
      <c r="J203" s="229">
        <f t="shared" si="390"/>
        <v>0</v>
      </c>
      <c r="L203" s="308"/>
      <c r="M203" s="88">
        <f t="shared" si="393"/>
        <v>0</v>
      </c>
      <c r="N203" s="89"/>
      <c r="O203" s="15"/>
      <c r="P203" s="15"/>
      <c r="Q203" s="15"/>
      <c r="R203" s="15"/>
      <c r="S203" s="15"/>
      <c r="T203" s="15"/>
      <c r="U203" s="229">
        <f t="shared" si="391"/>
        <v>0</v>
      </c>
      <c r="V203" s="16"/>
      <c r="W203" s="308"/>
      <c r="X203" s="88">
        <f t="shared" si="394"/>
        <v>0</v>
      </c>
      <c r="Y203" s="89"/>
      <c r="Z203" s="15"/>
      <c r="AA203" s="15"/>
      <c r="AB203" s="15"/>
      <c r="AC203" s="15"/>
      <c r="AD203" s="15"/>
      <c r="AE203" s="15"/>
      <c r="AF203" s="229">
        <f t="shared" si="392"/>
        <v>0</v>
      </c>
    </row>
    <row r="204" spans="1:32" x14ac:dyDescent="0.2">
      <c r="A204" s="317"/>
      <c r="B204" s="221"/>
      <c r="C204" s="222"/>
      <c r="D204" s="15"/>
      <c r="E204" s="15"/>
      <c r="F204" s="15"/>
      <c r="G204" s="15"/>
      <c r="H204" s="15"/>
      <c r="I204" s="15"/>
      <c r="J204" s="229">
        <f t="shared" si="390"/>
        <v>0</v>
      </c>
      <c r="L204" s="308"/>
      <c r="M204" s="88">
        <f t="shared" si="393"/>
        <v>0</v>
      </c>
      <c r="N204" s="89"/>
      <c r="O204" s="15"/>
      <c r="P204" s="15"/>
      <c r="Q204" s="15"/>
      <c r="R204" s="15"/>
      <c r="S204" s="15"/>
      <c r="T204" s="15"/>
      <c r="U204" s="229">
        <f t="shared" si="391"/>
        <v>0</v>
      </c>
      <c r="V204" s="16"/>
      <c r="W204" s="308"/>
      <c r="X204" s="88">
        <f t="shared" si="394"/>
        <v>0</v>
      </c>
      <c r="Y204" s="89"/>
      <c r="Z204" s="15"/>
      <c r="AA204" s="15"/>
      <c r="AB204" s="15"/>
      <c r="AC204" s="15"/>
      <c r="AD204" s="15"/>
      <c r="AE204" s="15"/>
      <c r="AF204" s="229">
        <f t="shared" si="392"/>
        <v>0</v>
      </c>
    </row>
    <row r="205" spans="1:32" x14ac:dyDescent="0.2">
      <c r="A205" s="317"/>
      <c r="B205" s="221"/>
      <c r="C205" s="222"/>
      <c r="D205" s="15"/>
      <c r="E205" s="15"/>
      <c r="F205" s="15"/>
      <c r="G205" s="15"/>
      <c r="H205" s="15"/>
      <c r="I205" s="15"/>
      <c r="J205" s="229">
        <f t="shared" si="390"/>
        <v>0</v>
      </c>
      <c r="L205" s="308"/>
      <c r="M205" s="88">
        <f t="shared" si="393"/>
        <v>0</v>
      </c>
      <c r="N205" s="89"/>
      <c r="O205" s="15"/>
      <c r="P205" s="15"/>
      <c r="Q205" s="15"/>
      <c r="R205" s="15"/>
      <c r="S205" s="15"/>
      <c r="T205" s="15"/>
      <c r="U205" s="229">
        <f t="shared" si="391"/>
        <v>0</v>
      </c>
      <c r="V205" s="16"/>
      <c r="W205" s="308"/>
      <c r="X205" s="88">
        <f t="shared" si="394"/>
        <v>0</v>
      </c>
      <c r="Y205" s="89"/>
      <c r="Z205" s="15"/>
      <c r="AA205" s="15"/>
      <c r="AB205" s="15"/>
      <c r="AC205" s="15"/>
      <c r="AD205" s="15"/>
      <c r="AE205" s="15"/>
      <c r="AF205" s="229">
        <f t="shared" si="392"/>
        <v>0</v>
      </c>
    </row>
    <row r="206" spans="1:32" x14ac:dyDescent="0.2">
      <c r="A206" s="317"/>
      <c r="B206" s="221"/>
      <c r="C206" s="222"/>
      <c r="D206" s="15"/>
      <c r="E206" s="15"/>
      <c r="F206" s="15"/>
      <c r="G206" s="15"/>
      <c r="H206" s="15"/>
      <c r="I206" s="15"/>
      <c r="J206" s="229">
        <f t="shared" si="390"/>
        <v>0</v>
      </c>
      <c r="L206" s="308"/>
      <c r="M206" s="88">
        <f t="shared" si="393"/>
        <v>0</v>
      </c>
      <c r="N206" s="89"/>
      <c r="O206" s="15"/>
      <c r="P206" s="15"/>
      <c r="Q206" s="15"/>
      <c r="R206" s="15"/>
      <c r="S206" s="15"/>
      <c r="T206" s="15"/>
      <c r="U206" s="229">
        <f t="shared" si="391"/>
        <v>0</v>
      </c>
      <c r="V206" s="16"/>
      <c r="W206" s="308"/>
      <c r="X206" s="88">
        <f t="shared" si="394"/>
        <v>0</v>
      </c>
      <c r="Y206" s="89"/>
      <c r="Z206" s="15"/>
      <c r="AA206" s="15"/>
      <c r="AB206" s="15"/>
      <c r="AC206" s="15"/>
      <c r="AD206" s="15"/>
      <c r="AE206" s="15"/>
      <c r="AF206" s="229">
        <f t="shared" si="392"/>
        <v>0</v>
      </c>
    </row>
    <row r="207" spans="1:32" x14ac:dyDescent="0.2">
      <c r="A207" s="317"/>
      <c r="B207" s="280"/>
      <c r="C207" s="224"/>
      <c r="D207" s="15"/>
      <c r="E207" s="15"/>
      <c r="F207" s="15"/>
      <c r="G207" s="15"/>
      <c r="H207" s="15"/>
      <c r="I207" s="15"/>
      <c r="J207" s="229">
        <f t="shared" si="390"/>
        <v>0</v>
      </c>
      <c r="L207" s="308"/>
      <c r="M207" s="88">
        <f t="shared" si="393"/>
        <v>0</v>
      </c>
      <c r="N207" s="90"/>
      <c r="O207" s="15"/>
      <c r="P207" s="15"/>
      <c r="Q207" s="15"/>
      <c r="R207" s="15"/>
      <c r="S207" s="15"/>
      <c r="T207" s="15"/>
      <c r="U207" s="229">
        <f t="shared" si="391"/>
        <v>0</v>
      </c>
      <c r="V207" s="16"/>
      <c r="W207" s="308"/>
      <c r="X207" s="88">
        <f t="shared" si="394"/>
        <v>0</v>
      </c>
      <c r="Y207" s="90"/>
      <c r="Z207" s="15"/>
      <c r="AA207" s="15"/>
      <c r="AB207" s="15"/>
      <c r="AC207" s="15"/>
      <c r="AD207" s="15"/>
      <c r="AE207" s="15"/>
      <c r="AF207" s="229">
        <f t="shared" si="392"/>
        <v>0</v>
      </c>
    </row>
    <row r="208" spans="1:32" x14ac:dyDescent="0.2">
      <c r="A208" s="317"/>
      <c r="B208" s="223"/>
      <c r="C208" s="224"/>
      <c r="D208" s="15"/>
      <c r="E208" s="15"/>
      <c r="F208" s="15"/>
      <c r="G208" s="15"/>
      <c r="H208" s="15"/>
      <c r="I208" s="15"/>
      <c r="J208" s="229">
        <f t="shared" si="390"/>
        <v>0</v>
      </c>
      <c r="L208" s="308"/>
      <c r="M208" s="88">
        <f t="shared" si="393"/>
        <v>0</v>
      </c>
      <c r="N208" s="90"/>
      <c r="O208" s="15"/>
      <c r="P208" s="15"/>
      <c r="Q208" s="15"/>
      <c r="R208" s="15"/>
      <c r="S208" s="15"/>
      <c r="T208" s="15"/>
      <c r="U208" s="229">
        <f t="shared" si="391"/>
        <v>0</v>
      </c>
      <c r="V208" s="16"/>
      <c r="W208" s="308"/>
      <c r="X208" s="88">
        <f t="shared" si="394"/>
        <v>0</v>
      </c>
      <c r="Y208" s="90"/>
      <c r="Z208" s="15"/>
      <c r="AA208" s="15"/>
      <c r="AB208" s="15"/>
      <c r="AC208" s="15"/>
      <c r="AD208" s="15"/>
      <c r="AE208" s="15"/>
      <c r="AF208" s="229">
        <f t="shared" si="392"/>
        <v>0</v>
      </c>
    </row>
    <row r="209" spans="1:32" ht="16" thickBot="1" x14ac:dyDescent="0.25">
      <c r="A209" s="317"/>
      <c r="B209" s="231"/>
      <c r="C209" s="232"/>
      <c r="D209" s="15"/>
      <c r="E209" s="15"/>
      <c r="F209" s="15"/>
      <c r="G209" s="15"/>
      <c r="H209" s="15"/>
      <c r="I209" s="15"/>
      <c r="J209" s="230">
        <f t="shared" si="390"/>
        <v>0</v>
      </c>
      <c r="L209" s="308"/>
      <c r="M209" s="91">
        <f t="shared" si="393"/>
        <v>0</v>
      </c>
      <c r="N209" s="90"/>
      <c r="O209" s="15"/>
      <c r="P209" s="15"/>
      <c r="Q209" s="15"/>
      <c r="R209" s="15"/>
      <c r="S209" s="15"/>
      <c r="T209" s="15"/>
      <c r="U209" s="230">
        <f t="shared" si="391"/>
        <v>0</v>
      </c>
      <c r="V209" s="16"/>
      <c r="W209" s="308"/>
      <c r="X209" s="91">
        <f t="shared" si="394"/>
        <v>0</v>
      </c>
      <c r="Y209" s="90"/>
      <c r="Z209" s="15"/>
      <c r="AA209" s="15"/>
      <c r="AB209" s="15"/>
      <c r="AC209" s="15"/>
      <c r="AD209" s="15"/>
      <c r="AE209" s="15"/>
      <c r="AF209" s="230">
        <f t="shared" si="392"/>
        <v>0</v>
      </c>
    </row>
    <row r="210" spans="1:32" ht="16" thickBot="1" x14ac:dyDescent="0.25">
      <c r="A210" s="308"/>
      <c r="B210" s="320" t="s">
        <v>30</v>
      </c>
      <c r="C210" s="321"/>
      <c r="D210" s="38"/>
      <c r="E210" s="38"/>
      <c r="F210" s="38"/>
      <c r="G210" s="38"/>
      <c r="H210" s="38"/>
      <c r="I210" s="38"/>
      <c r="J210" s="47">
        <f>SUM(J211:J213)</f>
        <v>0</v>
      </c>
      <c r="L210" s="308"/>
      <c r="M210" s="311" t="s">
        <v>30</v>
      </c>
      <c r="N210" s="312"/>
      <c r="O210" s="38"/>
      <c r="P210" s="38"/>
      <c r="Q210" s="38"/>
      <c r="R210" s="38"/>
      <c r="S210" s="38"/>
      <c r="T210" s="38"/>
      <c r="U210" s="16">
        <f>SUM(U211:U213)</f>
        <v>0</v>
      </c>
      <c r="V210" s="16"/>
      <c r="W210" s="308"/>
      <c r="X210" s="311" t="s">
        <v>30</v>
      </c>
      <c r="Y210" s="312"/>
      <c r="Z210" s="38"/>
      <c r="AA210" s="38"/>
      <c r="AB210" s="38"/>
      <c r="AC210" s="38"/>
      <c r="AD210" s="38"/>
      <c r="AE210" s="38"/>
      <c r="AF210" s="16">
        <f>SUM(AF211:AF213)</f>
        <v>0</v>
      </c>
    </row>
    <row r="211" spans="1:32" x14ac:dyDescent="0.2">
      <c r="A211" s="317"/>
      <c r="B211" s="281"/>
      <c r="C211" s="233"/>
      <c r="D211" s="15"/>
      <c r="E211" s="15"/>
      <c r="F211" s="15"/>
      <c r="G211" s="15"/>
      <c r="H211" s="15"/>
      <c r="I211" s="15"/>
      <c r="J211" s="228">
        <f t="shared" ref="J211:J212" si="395">SUM(D211:I211)</f>
        <v>0</v>
      </c>
      <c r="L211" s="308"/>
      <c r="M211" s="92">
        <f>$B211</f>
        <v>0</v>
      </c>
      <c r="N211" s="90"/>
      <c r="O211" s="15"/>
      <c r="P211" s="15"/>
      <c r="Q211" s="15"/>
      <c r="R211" s="15"/>
      <c r="S211" s="15"/>
      <c r="T211" s="15"/>
      <c r="U211" s="228">
        <f t="shared" ref="U211:U212" si="396">SUM(O211:T211)</f>
        <v>0</v>
      </c>
      <c r="V211" s="16"/>
      <c r="W211" s="308"/>
      <c r="X211" s="92">
        <f>$B211</f>
        <v>0</v>
      </c>
      <c r="Y211" s="90"/>
      <c r="Z211" s="15"/>
      <c r="AA211" s="15"/>
      <c r="AB211" s="15"/>
      <c r="AC211" s="15"/>
      <c r="AD211" s="15"/>
      <c r="AE211" s="15"/>
      <c r="AF211" s="39">
        <f t="shared" ref="AF211:AF212" si="397">SUM(Z211:AE211)</f>
        <v>0</v>
      </c>
    </row>
    <row r="212" spans="1:32" x14ac:dyDescent="0.2">
      <c r="A212" s="317"/>
      <c r="B212" s="223"/>
      <c r="C212" s="224"/>
      <c r="D212" s="15"/>
      <c r="E212" s="15"/>
      <c r="F212" s="15"/>
      <c r="G212" s="15"/>
      <c r="H212" s="15"/>
      <c r="I212" s="15"/>
      <c r="J212" s="229">
        <f t="shared" si="395"/>
        <v>0</v>
      </c>
      <c r="L212" s="308"/>
      <c r="M212" s="92">
        <f t="shared" ref="M212:M213" si="398">$B212</f>
        <v>0</v>
      </c>
      <c r="N212" s="90"/>
      <c r="O212" s="15"/>
      <c r="P212" s="15"/>
      <c r="Q212" s="15"/>
      <c r="R212" s="15"/>
      <c r="S212" s="15"/>
      <c r="T212" s="15"/>
      <c r="U212" s="229">
        <f t="shared" si="396"/>
        <v>0</v>
      </c>
      <c r="V212" s="16"/>
      <c r="W212" s="308"/>
      <c r="X212" s="92">
        <f t="shared" ref="X212:X213" si="399">$B212</f>
        <v>0</v>
      </c>
      <c r="Y212" s="90"/>
      <c r="Z212" s="15"/>
      <c r="AA212" s="15"/>
      <c r="AB212" s="15"/>
      <c r="AC212" s="15"/>
      <c r="AD212" s="15"/>
      <c r="AE212" s="15"/>
      <c r="AF212" s="16">
        <f t="shared" si="397"/>
        <v>0</v>
      </c>
    </row>
    <row r="213" spans="1:32" ht="16" thickBot="1" x14ac:dyDescent="0.25">
      <c r="A213" s="317"/>
      <c r="B213" s="225"/>
      <c r="C213" s="226"/>
      <c r="D213" s="15"/>
      <c r="E213" s="15"/>
      <c r="F213" s="15"/>
      <c r="G213" s="15"/>
      <c r="H213" s="15"/>
      <c r="I213" s="15"/>
      <c r="J213" s="230">
        <f>SUM(D213:I213)</f>
        <v>0</v>
      </c>
      <c r="L213" s="308"/>
      <c r="M213" s="92">
        <f t="shared" si="398"/>
        <v>0</v>
      </c>
      <c r="N213" s="93"/>
      <c r="O213" s="15"/>
      <c r="P213" s="15"/>
      <c r="Q213" s="15"/>
      <c r="R213" s="15"/>
      <c r="S213" s="15"/>
      <c r="T213" s="15"/>
      <c r="U213" s="230">
        <f>SUM(O213:T213)</f>
        <v>0</v>
      </c>
      <c r="V213" s="16"/>
      <c r="W213" s="308"/>
      <c r="X213" s="92">
        <f t="shared" si="399"/>
        <v>0</v>
      </c>
      <c r="Y213" s="93"/>
      <c r="Z213" s="15"/>
      <c r="AA213" s="15"/>
      <c r="AB213" s="15"/>
      <c r="AC213" s="15"/>
      <c r="AD213" s="15"/>
      <c r="AE213" s="15"/>
      <c r="AF213" s="16">
        <f>SUM(Z213:AE213)</f>
        <v>0</v>
      </c>
    </row>
    <row r="214" spans="1:32" ht="16" thickBot="1" x14ac:dyDescent="0.25">
      <c r="A214" s="308"/>
      <c r="B214" s="218" t="str">
        <f>IF(B199="Personnel - man months","Total man months","Total man hours")</f>
        <v>Total man months</v>
      </c>
      <c r="C214" s="218"/>
      <c r="D214" s="18">
        <f t="shared" ref="D214:I214" si="400">SUM(D200:D213)</f>
        <v>0</v>
      </c>
      <c r="E214" s="18">
        <f t="shared" si="400"/>
        <v>0</v>
      </c>
      <c r="F214" s="18">
        <f t="shared" si="400"/>
        <v>0</v>
      </c>
      <c r="G214" s="18">
        <f t="shared" si="400"/>
        <v>0</v>
      </c>
      <c r="H214" s="18">
        <f t="shared" si="400"/>
        <v>0</v>
      </c>
      <c r="I214" s="18">
        <f t="shared" si="400"/>
        <v>0</v>
      </c>
      <c r="J214" s="227">
        <f>SUM(D214:I214)</f>
        <v>0</v>
      </c>
      <c r="L214" s="308"/>
      <c r="M214" s="17" t="str">
        <f>IF(M199="Personnel - man months","Total man months","Total man hours")</f>
        <v>Total man months</v>
      </c>
      <c r="N214" s="17"/>
      <c r="O214" s="18">
        <f t="shared" ref="O214:T214" si="401">SUM(O200:O213)</f>
        <v>0</v>
      </c>
      <c r="P214" s="18">
        <f t="shared" si="401"/>
        <v>0</v>
      </c>
      <c r="Q214" s="18">
        <f t="shared" si="401"/>
        <v>0</v>
      </c>
      <c r="R214" s="18">
        <f t="shared" si="401"/>
        <v>0</v>
      </c>
      <c r="S214" s="18">
        <f t="shared" si="401"/>
        <v>0</v>
      </c>
      <c r="T214" s="18">
        <f t="shared" si="401"/>
        <v>0</v>
      </c>
      <c r="U214" s="241">
        <f>SUM(O214:T214)</f>
        <v>0</v>
      </c>
      <c r="V214" s="16"/>
      <c r="W214" s="308"/>
      <c r="X214" s="17" t="str">
        <f>IF(X199="Personnel - man months","Total man months","Total man hours")</f>
        <v>Total man months</v>
      </c>
      <c r="Y214" s="17"/>
      <c r="Z214" s="18">
        <f t="shared" ref="Z214:AE214" si="402">SUM(Z200:Z213)</f>
        <v>0</v>
      </c>
      <c r="AA214" s="18">
        <f t="shared" si="402"/>
        <v>0</v>
      </c>
      <c r="AB214" s="18">
        <f t="shared" si="402"/>
        <v>0</v>
      </c>
      <c r="AC214" s="18">
        <f t="shared" si="402"/>
        <v>0</v>
      </c>
      <c r="AD214" s="18">
        <f t="shared" si="402"/>
        <v>0</v>
      </c>
      <c r="AE214" s="18">
        <f t="shared" si="402"/>
        <v>0</v>
      </c>
      <c r="AF214" s="18">
        <f>SUM(Z214:AE214)</f>
        <v>0</v>
      </c>
    </row>
    <row r="215" spans="1:32" x14ac:dyDescent="0.2">
      <c r="A215" s="308"/>
      <c r="B215" s="37" t="s">
        <v>10</v>
      </c>
      <c r="C215" s="213" t="str">
        <f>IF(B199="Personnel - man months","Monthly salary (2018)","Hourly rate (2017)")</f>
        <v>Monthly salary (2018)</v>
      </c>
      <c r="D215" s="13">
        <f t="shared" ref="D215:I215" si="403">+D199</f>
        <v>2019</v>
      </c>
      <c r="E215" s="13">
        <f t="shared" si="403"/>
        <v>2020</v>
      </c>
      <c r="F215" s="13">
        <f t="shared" si="403"/>
        <v>2021</v>
      </c>
      <c r="G215" s="13">
        <f t="shared" si="403"/>
        <v>2022</v>
      </c>
      <c r="H215" s="13">
        <f t="shared" si="403"/>
        <v>2023</v>
      </c>
      <c r="I215" s="13">
        <f t="shared" si="403"/>
        <v>2024</v>
      </c>
      <c r="J215" s="46" t="s">
        <v>11</v>
      </c>
      <c r="L215" s="308"/>
      <c r="M215" s="37" t="s">
        <v>10</v>
      </c>
      <c r="N215" s="213" t="str">
        <f>IF(M199="Personnel - man months","Monthly salary (2018)","Hourly rate (2017)")</f>
        <v>Monthly salary (2018)</v>
      </c>
      <c r="O215" s="13">
        <f t="shared" ref="O215:T215" si="404">+O199</f>
        <v>2019</v>
      </c>
      <c r="P215" s="13">
        <f t="shared" si="404"/>
        <v>2020</v>
      </c>
      <c r="Q215" s="13">
        <f t="shared" si="404"/>
        <v>2021</v>
      </c>
      <c r="R215" s="13">
        <f t="shared" si="404"/>
        <v>2022</v>
      </c>
      <c r="S215" s="13">
        <f t="shared" si="404"/>
        <v>2023</v>
      </c>
      <c r="T215" s="13">
        <f t="shared" si="404"/>
        <v>2024</v>
      </c>
      <c r="U215" s="13" t="s">
        <v>11</v>
      </c>
      <c r="V215" s="14"/>
      <c r="W215" s="308"/>
      <c r="X215" s="37" t="s">
        <v>10</v>
      </c>
      <c r="Y215" s="213" t="str">
        <f>IF(X199="Personnel - man months","Monthly salary (2018)","Hourly rate (2017)")</f>
        <v>Monthly salary (2018)</v>
      </c>
      <c r="Z215" s="13">
        <f t="shared" ref="Z215:AE215" si="405">+Z199</f>
        <v>2019</v>
      </c>
      <c r="AA215" s="13">
        <f t="shared" si="405"/>
        <v>2020</v>
      </c>
      <c r="AB215" s="13">
        <f t="shared" si="405"/>
        <v>2021</v>
      </c>
      <c r="AC215" s="13">
        <f t="shared" si="405"/>
        <v>2022</v>
      </c>
      <c r="AD215" s="13">
        <f t="shared" si="405"/>
        <v>2023</v>
      </c>
      <c r="AE215" s="13">
        <f t="shared" si="405"/>
        <v>2024</v>
      </c>
      <c r="AF215" s="13" t="s">
        <v>11</v>
      </c>
    </row>
    <row r="216" spans="1:32" ht="16" thickBot="1" x14ac:dyDescent="0.25">
      <c r="A216" s="308"/>
      <c r="B216" s="311" t="s">
        <v>29</v>
      </c>
      <c r="C216" s="312"/>
      <c r="D216" s="242">
        <f>SUM(D217:D225)</f>
        <v>0</v>
      </c>
      <c r="E216" s="242">
        <f t="shared" ref="E216" si="406">SUM(E217:E225)</f>
        <v>0</v>
      </c>
      <c r="F216" s="242">
        <f t="shared" ref="F216" si="407">SUM(F217:F225)</f>
        <v>0</v>
      </c>
      <c r="G216" s="242">
        <f t="shared" ref="G216" si="408">SUM(G217:G225)</f>
        <v>0</v>
      </c>
      <c r="H216" s="242">
        <f t="shared" ref="H216" si="409">SUM(H217:H225)</f>
        <v>0</v>
      </c>
      <c r="I216" s="242">
        <f t="shared" ref="I216" si="410">SUM(I217:I225)</f>
        <v>0</v>
      </c>
      <c r="J216" s="49">
        <f>SUM(J217:J225)</f>
        <v>0</v>
      </c>
      <c r="K216" s="23"/>
      <c r="L216" s="308"/>
      <c r="M216" s="311" t="s">
        <v>29</v>
      </c>
      <c r="N216" s="312"/>
      <c r="O216" s="41">
        <f>SUM(O217:O225)</f>
        <v>0</v>
      </c>
      <c r="P216" s="41">
        <f t="shared" ref="P216" si="411">SUM(P217:P225)</f>
        <v>0</v>
      </c>
      <c r="Q216" s="41">
        <f t="shared" ref="Q216" si="412">SUM(Q217:Q225)</f>
        <v>0</v>
      </c>
      <c r="R216" s="41">
        <f t="shared" ref="R216" si="413">SUM(R217:R225)</f>
        <v>0</v>
      </c>
      <c r="S216" s="41">
        <f t="shared" ref="S216" si="414">SUM(S217:S225)</f>
        <v>0</v>
      </c>
      <c r="T216" s="41">
        <f t="shared" ref="T216" si="415">SUM(T217:T225)</f>
        <v>0</v>
      </c>
      <c r="U216" s="236">
        <f>SUM(U217:U225)</f>
        <v>0</v>
      </c>
      <c r="V216" s="22"/>
      <c r="W216" s="308"/>
      <c r="X216" s="311" t="s">
        <v>29</v>
      </c>
      <c r="Y216" s="312"/>
      <c r="Z216" s="41">
        <f>SUM(Z217:Z225)</f>
        <v>0</v>
      </c>
      <c r="AA216" s="41">
        <f t="shared" ref="AA216" si="416">SUM(AA217:AA225)</f>
        <v>0</v>
      </c>
      <c r="AB216" s="41">
        <f t="shared" ref="AB216" si="417">SUM(AB217:AB225)</f>
        <v>0</v>
      </c>
      <c r="AC216" s="41">
        <f t="shared" ref="AC216" si="418">SUM(AC217:AC225)</f>
        <v>0</v>
      </c>
      <c r="AD216" s="41">
        <f t="shared" ref="AD216" si="419">SUM(AD217:AD225)</f>
        <v>0</v>
      </c>
      <c r="AE216" s="41">
        <f t="shared" ref="AE216" si="420">SUM(AE217:AE225)</f>
        <v>0</v>
      </c>
      <c r="AF216" s="40">
        <f>SUM(AF217:AF225)</f>
        <v>0</v>
      </c>
    </row>
    <row r="217" spans="1:32" x14ac:dyDescent="0.2">
      <c r="A217" s="308"/>
      <c r="B217" s="20">
        <f>B201</f>
        <v>0</v>
      </c>
      <c r="C217" s="21"/>
      <c r="D217" s="244">
        <f>($C217*(1+$C$230))*D201</f>
        <v>0</v>
      </c>
      <c r="E217" s="245">
        <f>($C217*(1+$C$230)^2)*E201</f>
        <v>0</v>
      </c>
      <c r="F217" s="245">
        <f>($C217*(1+$C$230)^3)*F201</f>
        <v>0</v>
      </c>
      <c r="G217" s="245">
        <f>($C217*(1+$C$230)^4)*G201</f>
        <v>0</v>
      </c>
      <c r="H217" s="245">
        <f>($C217*(1+$C$230)^5)*H201</f>
        <v>0</v>
      </c>
      <c r="I217" s="246">
        <f>($C217*(1+$C$230)^6)*I201</f>
        <v>0</v>
      </c>
      <c r="J217" s="50">
        <f t="shared" ref="J217:J225" si="421">SUM(D217:I217)</f>
        <v>0</v>
      </c>
      <c r="K217" s="23"/>
      <c r="L217" s="308"/>
      <c r="M217" s="20">
        <f>M201</f>
        <v>0</v>
      </c>
      <c r="N217" s="21"/>
      <c r="O217" s="22">
        <f>($N217*(1+$N$230))*O201</f>
        <v>0</v>
      </c>
      <c r="P217" s="22">
        <f>($N217*(1+$N$230)^2)*P201</f>
        <v>0</v>
      </c>
      <c r="Q217" s="22">
        <f>($N217*(1+$N$230)^3)*Q201</f>
        <v>0</v>
      </c>
      <c r="R217" s="22">
        <f>($N217*(1+$N$230)^4)*R201</f>
        <v>0</v>
      </c>
      <c r="S217" s="22">
        <f>($N217*(1+$N$230)^5)*S201</f>
        <v>0</v>
      </c>
      <c r="T217" s="22">
        <f>($N217*(1+$N$230)^6)*T201</f>
        <v>0</v>
      </c>
      <c r="U217" s="237">
        <f t="shared" ref="U217:U225" si="422">SUM(O217:T217)</f>
        <v>0</v>
      </c>
      <c r="V217" s="22"/>
      <c r="W217" s="308"/>
      <c r="X217" s="20">
        <f>X201</f>
        <v>0</v>
      </c>
      <c r="Y217" s="21"/>
      <c r="Z217" s="22">
        <f>($Y217*(1+$Y$230))*Z201</f>
        <v>0</v>
      </c>
      <c r="AA217" s="22">
        <f>($Y217*(1+$Y$230)^2)*AA201</f>
        <v>0</v>
      </c>
      <c r="AB217" s="22">
        <f>($Y217*(1+$Y$230)^3)*AB201</f>
        <v>0</v>
      </c>
      <c r="AC217" s="22">
        <f>($Y217*(1+$Y$230)^4)*AC201</f>
        <v>0</v>
      </c>
      <c r="AD217" s="22">
        <f>($Y217*(1+$Y$230)^5)*AD201</f>
        <v>0</v>
      </c>
      <c r="AE217" s="22">
        <f>($Y217*(1+$Y$230)^6)*AE201</f>
        <v>0</v>
      </c>
      <c r="AF217" s="22">
        <f t="shared" ref="AF217:AF225" si="423">SUM(Z217:AE217)</f>
        <v>0</v>
      </c>
    </row>
    <row r="218" spans="1:32" x14ac:dyDescent="0.2">
      <c r="A218" s="308"/>
      <c r="B218" s="20">
        <f>B202</f>
        <v>0</v>
      </c>
      <c r="C218" s="21"/>
      <c r="D218" s="247">
        <f t="shared" ref="D218:D225" si="424">($C218*(1+$C$230))*D202</f>
        <v>0</v>
      </c>
      <c r="E218" s="22">
        <f t="shared" ref="E218:E225" si="425">($C218*(1+$C$230)^2)*E202</f>
        <v>0</v>
      </c>
      <c r="F218" s="22">
        <f t="shared" ref="F218:F225" si="426">($C218*(1+$C$230)^3)*F202</f>
        <v>0</v>
      </c>
      <c r="G218" s="22">
        <f t="shared" ref="G218:G225" si="427">($C218*(1+$C$230)^4)*G202</f>
        <v>0</v>
      </c>
      <c r="H218" s="22">
        <f t="shared" ref="H218:H225" si="428">($C218*(1+$C$230)^5)*H202</f>
        <v>0</v>
      </c>
      <c r="I218" s="248">
        <f t="shared" ref="I218:I225" si="429">($C218*(1+$C$230)^6)*I202</f>
        <v>0</v>
      </c>
      <c r="J218" s="50">
        <f t="shared" si="421"/>
        <v>0</v>
      </c>
      <c r="K218" s="23"/>
      <c r="L218" s="308"/>
      <c r="M218" s="20">
        <f>M202</f>
        <v>0</v>
      </c>
      <c r="N218" s="21"/>
      <c r="O218" s="22">
        <f t="shared" ref="O218:O225" si="430">($N218*(1+$N$230))*O202</f>
        <v>0</v>
      </c>
      <c r="P218" s="22">
        <f t="shared" ref="P218:P225" si="431">($N218*(1+$N$230)^2)*P202</f>
        <v>0</v>
      </c>
      <c r="Q218" s="22">
        <f t="shared" ref="Q218:Q225" si="432">($N218*(1+$N$230)^3)*Q202</f>
        <v>0</v>
      </c>
      <c r="R218" s="22">
        <f t="shared" ref="R218:R225" si="433">($N218*(1+$N$230)^4)*R202</f>
        <v>0</v>
      </c>
      <c r="S218" s="22">
        <f t="shared" ref="S218:S225" si="434">($N218*(1+$N$230)^5)*S202</f>
        <v>0</v>
      </c>
      <c r="T218" s="22">
        <f t="shared" ref="T218:T225" si="435">($N218*(1+$N$230)^6)*T202</f>
        <v>0</v>
      </c>
      <c r="U218" s="238">
        <f t="shared" si="422"/>
        <v>0</v>
      </c>
      <c r="V218" s="22"/>
      <c r="W218" s="308"/>
      <c r="X218" s="20">
        <f>X202</f>
        <v>0</v>
      </c>
      <c r="Y218" s="21"/>
      <c r="Z218" s="22">
        <f t="shared" ref="Z218:Z225" si="436">($Y218*(1+$Y$230))*Z202</f>
        <v>0</v>
      </c>
      <c r="AA218" s="22">
        <f t="shared" ref="AA218:AA225" si="437">($Y218*(1+$Y$230)^2)*AA202</f>
        <v>0</v>
      </c>
      <c r="AB218" s="22">
        <f t="shared" ref="AB218:AB225" si="438">($Y218*(1+$Y$230)^3)*AB202</f>
        <v>0</v>
      </c>
      <c r="AC218" s="22">
        <f t="shared" ref="AC218:AC225" si="439">($Y218*(1+$Y$230)^4)*AC202</f>
        <v>0</v>
      </c>
      <c r="AD218" s="22">
        <f t="shared" ref="AD218:AD225" si="440">($Y218*(1+$Y$230)^5)*AD202</f>
        <v>0</v>
      </c>
      <c r="AE218" s="22">
        <f t="shared" ref="AE218:AE225" si="441">($Y218*(1+$Y$230)^6)*AE202</f>
        <v>0</v>
      </c>
      <c r="AF218" s="22">
        <f t="shared" si="423"/>
        <v>0</v>
      </c>
    </row>
    <row r="219" spans="1:32" x14ac:dyDescent="0.2">
      <c r="A219" s="308"/>
      <c r="B219" s="20">
        <f>B203</f>
        <v>0</v>
      </c>
      <c r="C219" s="21"/>
      <c r="D219" s="247">
        <f t="shared" si="424"/>
        <v>0</v>
      </c>
      <c r="E219" s="22">
        <f t="shared" si="425"/>
        <v>0</v>
      </c>
      <c r="F219" s="22">
        <f t="shared" si="426"/>
        <v>0</v>
      </c>
      <c r="G219" s="22">
        <f t="shared" si="427"/>
        <v>0</v>
      </c>
      <c r="H219" s="22">
        <f t="shared" si="428"/>
        <v>0</v>
      </c>
      <c r="I219" s="248">
        <f t="shared" si="429"/>
        <v>0</v>
      </c>
      <c r="J219" s="50">
        <f t="shared" si="421"/>
        <v>0</v>
      </c>
      <c r="K219" s="23"/>
      <c r="L219" s="308"/>
      <c r="M219" s="20">
        <f>M203</f>
        <v>0</v>
      </c>
      <c r="N219" s="21"/>
      <c r="O219" s="22">
        <f t="shared" si="430"/>
        <v>0</v>
      </c>
      <c r="P219" s="22">
        <f t="shared" si="431"/>
        <v>0</v>
      </c>
      <c r="Q219" s="22">
        <f t="shared" si="432"/>
        <v>0</v>
      </c>
      <c r="R219" s="22">
        <f t="shared" si="433"/>
        <v>0</v>
      </c>
      <c r="S219" s="22">
        <f t="shared" si="434"/>
        <v>0</v>
      </c>
      <c r="T219" s="22">
        <f t="shared" si="435"/>
        <v>0</v>
      </c>
      <c r="U219" s="238">
        <f t="shared" si="422"/>
        <v>0</v>
      </c>
      <c r="V219" s="22"/>
      <c r="W219" s="308"/>
      <c r="X219" s="20">
        <f>X203</f>
        <v>0</v>
      </c>
      <c r="Y219" s="21"/>
      <c r="Z219" s="22">
        <f t="shared" si="436"/>
        <v>0</v>
      </c>
      <c r="AA219" s="22">
        <f t="shared" si="437"/>
        <v>0</v>
      </c>
      <c r="AB219" s="22">
        <f t="shared" si="438"/>
        <v>0</v>
      </c>
      <c r="AC219" s="22">
        <f t="shared" si="439"/>
        <v>0</v>
      </c>
      <c r="AD219" s="22">
        <f t="shared" si="440"/>
        <v>0</v>
      </c>
      <c r="AE219" s="22">
        <f t="shared" si="441"/>
        <v>0</v>
      </c>
      <c r="AF219" s="22">
        <f t="shared" si="423"/>
        <v>0</v>
      </c>
    </row>
    <row r="220" spans="1:32" x14ac:dyDescent="0.2">
      <c r="A220" s="308"/>
      <c r="B220" s="20">
        <f t="shared" ref="B220:B225" si="442">B204</f>
        <v>0</v>
      </c>
      <c r="C220" s="21"/>
      <c r="D220" s="247">
        <f t="shared" si="424"/>
        <v>0</v>
      </c>
      <c r="E220" s="22">
        <f t="shared" si="425"/>
        <v>0</v>
      </c>
      <c r="F220" s="22">
        <f t="shared" si="426"/>
        <v>0</v>
      </c>
      <c r="G220" s="22">
        <f t="shared" si="427"/>
        <v>0</v>
      </c>
      <c r="H220" s="22">
        <f t="shared" si="428"/>
        <v>0</v>
      </c>
      <c r="I220" s="248">
        <f t="shared" si="429"/>
        <v>0</v>
      </c>
      <c r="J220" s="50">
        <f t="shared" si="421"/>
        <v>0</v>
      </c>
      <c r="K220" s="23"/>
      <c r="L220" s="308"/>
      <c r="M220" s="20">
        <f t="shared" ref="M220:M225" si="443">M204</f>
        <v>0</v>
      </c>
      <c r="N220" s="21"/>
      <c r="O220" s="22">
        <f t="shared" si="430"/>
        <v>0</v>
      </c>
      <c r="P220" s="22">
        <f t="shared" si="431"/>
        <v>0</v>
      </c>
      <c r="Q220" s="22">
        <f t="shared" si="432"/>
        <v>0</v>
      </c>
      <c r="R220" s="22">
        <f t="shared" si="433"/>
        <v>0</v>
      </c>
      <c r="S220" s="22">
        <f t="shared" si="434"/>
        <v>0</v>
      </c>
      <c r="T220" s="22">
        <f t="shared" si="435"/>
        <v>0</v>
      </c>
      <c r="U220" s="238">
        <f t="shared" si="422"/>
        <v>0</v>
      </c>
      <c r="V220" s="22"/>
      <c r="W220" s="308"/>
      <c r="X220" s="20">
        <f t="shared" ref="X220:X225" si="444">X204</f>
        <v>0</v>
      </c>
      <c r="Y220" s="21"/>
      <c r="Z220" s="22">
        <f t="shared" si="436"/>
        <v>0</v>
      </c>
      <c r="AA220" s="22">
        <f t="shared" si="437"/>
        <v>0</v>
      </c>
      <c r="AB220" s="22">
        <f t="shared" si="438"/>
        <v>0</v>
      </c>
      <c r="AC220" s="22">
        <f t="shared" si="439"/>
        <v>0</v>
      </c>
      <c r="AD220" s="22">
        <f t="shared" si="440"/>
        <v>0</v>
      </c>
      <c r="AE220" s="22">
        <f t="shared" si="441"/>
        <v>0</v>
      </c>
      <c r="AF220" s="22">
        <f t="shared" si="423"/>
        <v>0</v>
      </c>
    </row>
    <row r="221" spans="1:32" x14ac:dyDescent="0.2">
      <c r="A221" s="308"/>
      <c r="B221" s="20">
        <f t="shared" si="442"/>
        <v>0</v>
      </c>
      <c r="C221" s="21"/>
      <c r="D221" s="247">
        <f t="shared" si="424"/>
        <v>0</v>
      </c>
      <c r="E221" s="22">
        <f t="shared" si="425"/>
        <v>0</v>
      </c>
      <c r="F221" s="22">
        <f t="shared" si="426"/>
        <v>0</v>
      </c>
      <c r="G221" s="22">
        <f t="shared" si="427"/>
        <v>0</v>
      </c>
      <c r="H221" s="22">
        <f t="shared" si="428"/>
        <v>0</v>
      </c>
      <c r="I221" s="248">
        <f t="shared" si="429"/>
        <v>0</v>
      </c>
      <c r="J221" s="50">
        <f t="shared" si="421"/>
        <v>0</v>
      </c>
      <c r="K221" s="23"/>
      <c r="L221" s="308"/>
      <c r="M221" s="20">
        <f t="shared" si="443"/>
        <v>0</v>
      </c>
      <c r="N221" s="21"/>
      <c r="O221" s="22">
        <f t="shared" si="430"/>
        <v>0</v>
      </c>
      <c r="P221" s="22">
        <f t="shared" si="431"/>
        <v>0</v>
      </c>
      <c r="Q221" s="22">
        <f t="shared" si="432"/>
        <v>0</v>
      </c>
      <c r="R221" s="22">
        <f t="shared" si="433"/>
        <v>0</v>
      </c>
      <c r="S221" s="22">
        <f t="shared" si="434"/>
        <v>0</v>
      </c>
      <c r="T221" s="22">
        <f t="shared" si="435"/>
        <v>0</v>
      </c>
      <c r="U221" s="238">
        <f t="shared" si="422"/>
        <v>0</v>
      </c>
      <c r="V221" s="22"/>
      <c r="W221" s="308"/>
      <c r="X221" s="20">
        <f t="shared" si="444"/>
        <v>0</v>
      </c>
      <c r="Y221" s="21"/>
      <c r="Z221" s="22">
        <f t="shared" si="436"/>
        <v>0</v>
      </c>
      <c r="AA221" s="22">
        <f t="shared" si="437"/>
        <v>0</v>
      </c>
      <c r="AB221" s="22">
        <f t="shared" si="438"/>
        <v>0</v>
      </c>
      <c r="AC221" s="22">
        <f t="shared" si="439"/>
        <v>0</v>
      </c>
      <c r="AD221" s="22">
        <f t="shared" si="440"/>
        <v>0</v>
      </c>
      <c r="AE221" s="22">
        <f t="shared" si="441"/>
        <v>0</v>
      </c>
      <c r="AF221" s="22">
        <f t="shared" si="423"/>
        <v>0</v>
      </c>
    </row>
    <row r="222" spans="1:32" x14ac:dyDescent="0.2">
      <c r="A222" s="308"/>
      <c r="B222" s="20">
        <f t="shared" si="442"/>
        <v>0</v>
      </c>
      <c r="C222" s="21"/>
      <c r="D222" s="247">
        <f t="shared" si="424"/>
        <v>0</v>
      </c>
      <c r="E222" s="22">
        <f t="shared" si="425"/>
        <v>0</v>
      </c>
      <c r="F222" s="22">
        <f t="shared" si="426"/>
        <v>0</v>
      </c>
      <c r="G222" s="22">
        <f t="shared" si="427"/>
        <v>0</v>
      </c>
      <c r="H222" s="22">
        <f t="shared" si="428"/>
        <v>0</v>
      </c>
      <c r="I222" s="248">
        <f t="shared" si="429"/>
        <v>0</v>
      </c>
      <c r="J222" s="50">
        <f t="shared" si="421"/>
        <v>0</v>
      </c>
      <c r="K222" s="23"/>
      <c r="L222" s="308"/>
      <c r="M222" s="20">
        <f t="shared" si="443"/>
        <v>0</v>
      </c>
      <c r="N222" s="21"/>
      <c r="O222" s="22">
        <f t="shared" si="430"/>
        <v>0</v>
      </c>
      <c r="P222" s="22">
        <f t="shared" si="431"/>
        <v>0</v>
      </c>
      <c r="Q222" s="22">
        <f t="shared" si="432"/>
        <v>0</v>
      </c>
      <c r="R222" s="22">
        <f t="shared" si="433"/>
        <v>0</v>
      </c>
      <c r="S222" s="22">
        <f t="shared" si="434"/>
        <v>0</v>
      </c>
      <c r="T222" s="22">
        <f t="shared" si="435"/>
        <v>0</v>
      </c>
      <c r="U222" s="238">
        <f t="shared" si="422"/>
        <v>0</v>
      </c>
      <c r="V222" s="22"/>
      <c r="W222" s="308"/>
      <c r="X222" s="20">
        <f t="shared" si="444"/>
        <v>0</v>
      </c>
      <c r="Y222" s="21"/>
      <c r="Z222" s="22">
        <f t="shared" si="436"/>
        <v>0</v>
      </c>
      <c r="AA222" s="22">
        <f t="shared" si="437"/>
        <v>0</v>
      </c>
      <c r="AB222" s="22">
        <f t="shared" si="438"/>
        <v>0</v>
      </c>
      <c r="AC222" s="22">
        <f t="shared" si="439"/>
        <v>0</v>
      </c>
      <c r="AD222" s="22">
        <f t="shared" si="440"/>
        <v>0</v>
      </c>
      <c r="AE222" s="22">
        <f t="shared" si="441"/>
        <v>0</v>
      </c>
      <c r="AF222" s="22">
        <f t="shared" si="423"/>
        <v>0</v>
      </c>
    </row>
    <row r="223" spans="1:32" x14ac:dyDescent="0.2">
      <c r="A223" s="308"/>
      <c r="B223" s="20">
        <f t="shared" si="442"/>
        <v>0</v>
      </c>
      <c r="C223" s="21"/>
      <c r="D223" s="247">
        <f t="shared" si="424"/>
        <v>0</v>
      </c>
      <c r="E223" s="22">
        <f t="shared" si="425"/>
        <v>0</v>
      </c>
      <c r="F223" s="22">
        <f t="shared" si="426"/>
        <v>0</v>
      </c>
      <c r="G223" s="22">
        <f t="shared" si="427"/>
        <v>0</v>
      </c>
      <c r="H223" s="22">
        <f t="shared" si="428"/>
        <v>0</v>
      </c>
      <c r="I223" s="248">
        <f t="shared" si="429"/>
        <v>0</v>
      </c>
      <c r="J223" s="50">
        <f t="shared" si="421"/>
        <v>0</v>
      </c>
      <c r="K223" s="23"/>
      <c r="L223" s="308"/>
      <c r="M223" s="20">
        <f t="shared" si="443"/>
        <v>0</v>
      </c>
      <c r="N223" s="21"/>
      <c r="O223" s="22">
        <f t="shared" si="430"/>
        <v>0</v>
      </c>
      <c r="P223" s="22">
        <f t="shared" si="431"/>
        <v>0</v>
      </c>
      <c r="Q223" s="22">
        <f t="shared" si="432"/>
        <v>0</v>
      </c>
      <c r="R223" s="22">
        <f t="shared" si="433"/>
        <v>0</v>
      </c>
      <c r="S223" s="22">
        <f t="shared" si="434"/>
        <v>0</v>
      </c>
      <c r="T223" s="22">
        <f t="shared" si="435"/>
        <v>0</v>
      </c>
      <c r="U223" s="238">
        <f t="shared" si="422"/>
        <v>0</v>
      </c>
      <c r="V223" s="22"/>
      <c r="W223" s="308"/>
      <c r="X223" s="20">
        <f t="shared" si="444"/>
        <v>0</v>
      </c>
      <c r="Y223" s="21"/>
      <c r="Z223" s="22">
        <f t="shared" si="436"/>
        <v>0</v>
      </c>
      <c r="AA223" s="22">
        <f t="shared" si="437"/>
        <v>0</v>
      </c>
      <c r="AB223" s="22">
        <f t="shared" si="438"/>
        <v>0</v>
      </c>
      <c r="AC223" s="22">
        <f t="shared" si="439"/>
        <v>0</v>
      </c>
      <c r="AD223" s="22">
        <f t="shared" si="440"/>
        <v>0</v>
      </c>
      <c r="AE223" s="22">
        <f t="shared" si="441"/>
        <v>0</v>
      </c>
      <c r="AF223" s="22">
        <f t="shared" si="423"/>
        <v>0</v>
      </c>
    </row>
    <row r="224" spans="1:32" x14ac:dyDescent="0.2">
      <c r="A224" s="308"/>
      <c r="B224" s="20">
        <f t="shared" si="442"/>
        <v>0</v>
      </c>
      <c r="C224" s="21"/>
      <c r="D224" s="247">
        <f t="shared" si="424"/>
        <v>0</v>
      </c>
      <c r="E224" s="22">
        <f t="shared" si="425"/>
        <v>0</v>
      </c>
      <c r="F224" s="22">
        <f t="shared" si="426"/>
        <v>0</v>
      </c>
      <c r="G224" s="22">
        <f t="shared" si="427"/>
        <v>0</v>
      </c>
      <c r="H224" s="22">
        <f t="shared" si="428"/>
        <v>0</v>
      </c>
      <c r="I224" s="248">
        <f t="shared" si="429"/>
        <v>0</v>
      </c>
      <c r="J224" s="50">
        <f t="shared" si="421"/>
        <v>0</v>
      </c>
      <c r="K224" s="23"/>
      <c r="L224" s="308"/>
      <c r="M224" s="20">
        <f t="shared" si="443"/>
        <v>0</v>
      </c>
      <c r="N224" s="21"/>
      <c r="O224" s="22">
        <f t="shared" si="430"/>
        <v>0</v>
      </c>
      <c r="P224" s="22">
        <f t="shared" si="431"/>
        <v>0</v>
      </c>
      <c r="Q224" s="22">
        <f t="shared" si="432"/>
        <v>0</v>
      </c>
      <c r="R224" s="22">
        <f t="shared" si="433"/>
        <v>0</v>
      </c>
      <c r="S224" s="22">
        <f t="shared" si="434"/>
        <v>0</v>
      </c>
      <c r="T224" s="22">
        <f t="shared" si="435"/>
        <v>0</v>
      </c>
      <c r="U224" s="238">
        <f t="shared" si="422"/>
        <v>0</v>
      </c>
      <c r="V224" s="22"/>
      <c r="W224" s="308"/>
      <c r="X224" s="20">
        <f t="shared" si="444"/>
        <v>0</v>
      </c>
      <c r="Y224" s="21"/>
      <c r="Z224" s="22">
        <f t="shared" si="436"/>
        <v>0</v>
      </c>
      <c r="AA224" s="22">
        <f t="shared" si="437"/>
        <v>0</v>
      </c>
      <c r="AB224" s="22">
        <f t="shared" si="438"/>
        <v>0</v>
      </c>
      <c r="AC224" s="22">
        <f t="shared" si="439"/>
        <v>0</v>
      </c>
      <c r="AD224" s="22">
        <f t="shared" si="440"/>
        <v>0</v>
      </c>
      <c r="AE224" s="22">
        <f t="shared" si="441"/>
        <v>0</v>
      </c>
      <c r="AF224" s="22">
        <f t="shared" si="423"/>
        <v>0</v>
      </c>
    </row>
    <row r="225" spans="1:32" ht="16" thickBot="1" x14ac:dyDescent="0.25">
      <c r="A225" s="308"/>
      <c r="B225" s="20">
        <f t="shared" si="442"/>
        <v>0</v>
      </c>
      <c r="C225" s="21"/>
      <c r="D225" s="249">
        <f t="shared" si="424"/>
        <v>0</v>
      </c>
      <c r="E225" s="250">
        <f t="shared" si="425"/>
        <v>0</v>
      </c>
      <c r="F225" s="250">
        <f t="shared" si="426"/>
        <v>0</v>
      </c>
      <c r="G225" s="250">
        <f t="shared" si="427"/>
        <v>0</v>
      </c>
      <c r="H225" s="250">
        <f t="shared" si="428"/>
        <v>0</v>
      </c>
      <c r="I225" s="251">
        <f t="shared" si="429"/>
        <v>0</v>
      </c>
      <c r="J225" s="50">
        <f t="shared" si="421"/>
        <v>0</v>
      </c>
      <c r="K225" s="23"/>
      <c r="L225" s="308"/>
      <c r="M225" s="20">
        <f t="shared" si="443"/>
        <v>0</v>
      </c>
      <c r="N225" s="21"/>
      <c r="O225" s="22">
        <f t="shared" si="430"/>
        <v>0</v>
      </c>
      <c r="P225" s="22">
        <f t="shared" si="431"/>
        <v>0</v>
      </c>
      <c r="Q225" s="22">
        <f t="shared" si="432"/>
        <v>0</v>
      </c>
      <c r="R225" s="22">
        <f t="shared" si="433"/>
        <v>0</v>
      </c>
      <c r="S225" s="22">
        <f t="shared" si="434"/>
        <v>0</v>
      </c>
      <c r="T225" s="22">
        <f t="shared" si="435"/>
        <v>0</v>
      </c>
      <c r="U225" s="239">
        <f t="shared" si="422"/>
        <v>0</v>
      </c>
      <c r="V225" s="22"/>
      <c r="W225" s="308"/>
      <c r="X225" s="20">
        <f t="shared" si="444"/>
        <v>0</v>
      </c>
      <c r="Y225" s="21"/>
      <c r="Z225" s="22">
        <f t="shared" si="436"/>
        <v>0</v>
      </c>
      <c r="AA225" s="22">
        <f t="shared" si="437"/>
        <v>0</v>
      </c>
      <c r="AB225" s="22">
        <f t="shared" si="438"/>
        <v>0</v>
      </c>
      <c r="AC225" s="22">
        <f t="shared" si="439"/>
        <v>0</v>
      </c>
      <c r="AD225" s="22">
        <f t="shared" si="440"/>
        <v>0</v>
      </c>
      <c r="AE225" s="22">
        <f t="shared" si="441"/>
        <v>0</v>
      </c>
      <c r="AF225" s="22">
        <f t="shared" si="423"/>
        <v>0</v>
      </c>
    </row>
    <row r="226" spans="1:32" ht="16" thickBot="1" x14ac:dyDescent="0.25">
      <c r="A226" s="308"/>
      <c r="B226" s="311" t="s">
        <v>30</v>
      </c>
      <c r="C226" s="312"/>
      <c r="D226" s="252">
        <f t="shared" ref="D226" si="445">SUM(D227:D229)</f>
        <v>0</v>
      </c>
      <c r="E226" s="252">
        <f t="shared" ref="E226" si="446">SUM(E227:E229)</f>
        <v>0</v>
      </c>
      <c r="F226" s="252">
        <f t="shared" ref="F226" si="447">SUM(F227:F229)</f>
        <v>0</v>
      </c>
      <c r="G226" s="252">
        <f t="shared" ref="G226" si="448">SUM(G227:G229)</f>
        <v>0</v>
      </c>
      <c r="H226" s="252">
        <f t="shared" ref="H226" si="449">SUM(H227:H229)</f>
        <v>0</v>
      </c>
      <c r="I226" s="252">
        <f t="shared" ref="I226" si="450">SUM(I227:I229)</f>
        <v>0</v>
      </c>
      <c r="J226" s="51">
        <f>SUM(J227:J229)</f>
        <v>0</v>
      </c>
      <c r="K226" s="23"/>
      <c r="L226" s="308"/>
      <c r="M226" s="311" t="s">
        <v>30</v>
      </c>
      <c r="N226" s="312"/>
      <c r="O226" s="41">
        <f t="shared" ref="O226" si="451">SUM(O227:O229)</f>
        <v>0</v>
      </c>
      <c r="P226" s="41">
        <f t="shared" ref="P226" si="452">SUM(P227:P229)</f>
        <v>0</v>
      </c>
      <c r="Q226" s="41">
        <f t="shared" ref="Q226" si="453">SUM(Q227:Q229)</f>
        <v>0</v>
      </c>
      <c r="R226" s="41">
        <f t="shared" ref="R226" si="454">SUM(R227:R229)</f>
        <v>0</v>
      </c>
      <c r="S226" s="41">
        <f t="shared" ref="S226" si="455">SUM(S227:S229)</f>
        <v>0</v>
      </c>
      <c r="T226" s="41">
        <f t="shared" ref="T226" si="456">SUM(T227:T229)</f>
        <v>0</v>
      </c>
      <c r="U226" s="240">
        <f>SUM(U227:U229)</f>
        <v>0</v>
      </c>
      <c r="V226" s="22"/>
      <c r="W226" s="308"/>
      <c r="X226" s="311" t="s">
        <v>30</v>
      </c>
      <c r="Y226" s="312"/>
      <c r="Z226" s="41">
        <f t="shared" ref="Z226" si="457">SUM(Z227:Z229)</f>
        <v>0</v>
      </c>
      <c r="AA226" s="41">
        <f t="shared" ref="AA226" si="458">SUM(AA227:AA229)</f>
        <v>0</v>
      </c>
      <c r="AB226" s="41">
        <f t="shared" ref="AB226" si="459">SUM(AB227:AB229)</f>
        <v>0</v>
      </c>
      <c r="AC226" s="41">
        <f t="shared" ref="AC226" si="460">SUM(AC227:AC229)</f>
        <v>0</v>
      </c>
      <c r="AD226" s="41">
        <f t="shared" ref="AD226" si="461">SUM(AD227:AD229)</f>
        <v>0</v>
      </c>
      <c r="AE226" s="41">
        <f t="shared" ref="AE226" si="462">SUM(AE227:AE229)</f>
        <v>0</v>
      </c>
      <c r="AF226" s="282">
        <f>SUM(AF227:AF229)</f>
        <v>0</v>
      </c>
    </row>
    <row r="227" spans="1:32" x14ac:dyDescent="0.2">
      <c r="A227" s="308"/>
      <c r="B227" s="20">
        <f>B211</f>
        <v>0</v>
      </c>
      <c r="C227" s="21"/>
      <c r="D227" s="244">
        <f>($C227*(1+$C$230))*D211</f>
        <v>0</v>
      </c>
      <c r="E227" s="245">
        <f>($C227*(1+$C$230)^2)*E211</f>
        <v>0</v>
      </c>
      <c r="F227" s="245">
        <f>($C227*(1+$C$230)^3)*F211</f>
        <v>0</v>
      </c>
      <c r="G227" s="245">
        <f>($C227*(1+$C$230)^4)*G211</f>
        <v>0</v>
      </c>
      <c r="H227" s="245">
        <f>($C227*(1+$C$230)^5)*H211</f>
        <v>0</v>
      </c>
      <c r="I227" s="246">
        <f>($C227*(1+$C$230)^6)*I211</f>
        <v>0</v>
      </c>
      <c r="J227" s="50">
        <f t="shared" ref="J227:J229" si="463">SUM(D227:I227)</f>
        <v>0</v>
      </c>
      <c r="K227" s="23"/>
      <c r="L227" s="308"/>
      <c r="M227" s="20">
        <f>M211</f>
        <v>0</v>
      </c>
      <c r="N227" s="21"/>
      <c r="O227" s="22">
        <f>($N227*(1+$N$230))*O211</f>
        <v>0</v>
      </c>
      <c r="P227" s="22">
        <f>($N227*(1+$N$230)^2)*P211</f>
        <v>0</v>
      </c>
      <c r="Q227" s="22">
        <f>($N227*(1+$N$230)^3)*Q211</f>
        <v>0</v>
      </c>
      <c r="R227" s="22">
        <f>($N227*(1+$N$230)^4)*R211</f>
        <v>0</v>
      </c>
      <c r="S227" s="22">
        <f>($N227*(1+$N$230)^5)*S211</f>
        <v>0</v>
      </c>
      <c r="T227" s="22">
        <f>($N227*(1+$N$230)^6)*T211</f>
        <v>0</v>
      </c>
      <c r="U227" s="237">
        <f t="shared" ref="U227:U229" si="464">SUM(O227:T227)</f>
        <v>0</v>
      </c>
      <c r="V227" s="22"/>
      <c r="W227" s="308"/>
      <c r="X227" s="20">
        <f>X211</f>
        <v>0</v>
      </c>
      <c r="Y227" s="21"/>
      <c r="Z227" s="22">
        <f>($Y227*(1+$Y$230))*Z211</f>
        <v>0</v>
      </c>
      <c r="AA227" s="22">
        <f>($Y227*(1+$Y$230)^2)*AA211</f>
        <v>0</v>
      </c>
      <c r="AB227" s="22">
        <f>($Y227*(1+$Y$230)^3)*AB211</f>
        <v>0</v>
      </c>
      <c r="AC227" s="22">
        <f>($Y227*(1+$Y$230)^4)*AC211</f>
        <v>0</v>
      </c>
      <c r="AD227" s="22">
        <f>($Y227*(1+$Y$230)^5)*AD211</f>
        <v>0</v>
      </c>
      <c r="AE227" s="22">
        <f>($Y227*(1+$Y$230)^6)*AE211</f>
        <v>0</v>
      </c>
      <c r="AF227" s="237">
        <f t="shared" ref="AF227:AF229" si="465">SUM(Z227:AE227)</f>
        <v>0</v>
      </c>
    </row>
    <row r="228" spans="1:32" x14ac:dyDescent="0.2">
      <c r="A228" s="308"/>
      <c r="B228" s="20">
        <f t="shared" ref="B228:B229" si="466">B212</f>
        <v>0</v>
      </c>
      <c r="C228" s="21"/>
      <c r="D228" s="247">
        <f t="shared" ref="D228:D229" si="467">($C228*(1+$C$230))*D212</f>
        <v>0</v>
      </c>
      <c r="E228" s="22">
        <f t="shared" ref="E228:E229" si="468">($C228*(1+$C$230)^2)*E212</f>
        <v>0</v>
      </c>
      <c r="F228" s="22">
        <f t="shared" ref="F228:F229" si="469">($C228*(1+$C$230)^3)*F212</f>
        <v>0</v>
      </c>
      <c r="G228" s="22">
        <f t="shared" ref="G228:G229" si="470">($C228*(1+$C$230)^4)*G212</f>
        <v>0</v>
      </c>
      <c r="H228" s="22">
        <f t="shared" ref="H228:H229" si="471">($C228*(1+$C$230)^5)*H212</f>
        <v>0</v>
      </c>
      <c r="I228" s="248">
        <f t="shared" ref="I228:I229" si="472">($C228*(1+$C$230)^6)*I212</f>
        <v>0</v>
      </c>
      <c r="J228" s="50">
        <f t="shared" si="463"/>
        <v>0</v>
      </c>
      <c r="K228" s="23"/>
      <c r="L228" s="308"/>
      <c r="M228" s="20">
        <f t="shared" ref="M228:M229" si="473">M212</f>
        <v>0</v>
      </c>
      <c r="N228" s="21"/>
      <c r="O228" s="22">
        <f t="shared" ref="O228:O229" si="474">($N228*(1+$N$230))*O212</f>
        <v>0</v>
      </c>
      <c r="P228" s="22">
        <f t="shared" ref="P228:P229" si="475">($N228*(1+$N$230)^2)*P212</f>
        <v>0</v>
      </c>
      <c r="Q228" s="22">
        <f t="shared" ref="Q228:Q229" si="476">($N228*(1+$N$230)^3)*Q212</f>
        <v>0</v>
      </c>
      <c r="R228" s="22">
        <f t="shared" ref="R228:R229" si="477">($N228*(1+$N$230)^4)*R212</f>
        <v>0</v>
      </c>
      <c r="S228" s="22">
        <f t="shared" ref="S228:S229" si="478">($N228*(1+$N$230)^5)*S212</f>
        <v>0</v>
      </c>
      <c r="T228" s="22">
        <f t="shared" ref="T228:T229" si="479">($N228*(1+$N$230)^6)*T212</f>
        <v>0</v>
      </c>
      <c r="U228" s="238">
        <f t="shared" si="464"/>
        <v>0</v>
      </c>
      <c r="V228" s="22"/>
      <c r="W228" s="308"/>
      <c r="X228" s="20">
        <f t="shared" ref="X228:X229" si="480">X212</f>
        <v>0</v>
      </c>
      <c r="Y228" s="21"/>
      <c r="Z228" s="22">
        <f t="shared" ref="Z228:Z229" si="481">($Y228*(1+$Y$230))*Z212</f>
        <v>0</v>
      </c>
      <c r="AA228" s="22">
        <f t="shared" ref="AA228:AA229" si="482">($Y228*(1+$Y$230)^2)*AA212</f>
        <v>0</v>
      </c>
      <c r="AB228" s="22">
        <f t="shared" ref="AB228:AB229" si="483">($Y228*(1+$Y$230)^3)*AB212</f>
        <v>0</v>
      </c>
      <c r="AC228" s="22">
        <f t="shared" ref="AC228:AC229" si="484">($Y228*(1+$Y$230)^4)*AC212</f>
        <v>0</v>
      </c>
      <c r="AD228" s="22">
        <f t="shared" ref="AD228:AD229" si="485">($Y228*(1+$Y$230)^5)*AD212</f>
        <v>0</v>
      </c>
      <c r="AE228" s="22">
        <f t="shared" ref="AE228:AE229" si="486">($Y228*(1+$Y$230)^6)*AE212</f>
        <v>0</v>
      </c>
      <c r="AF228" s="238">
        <f t="shared" si="465"/>
        <v>0</v>
      </c>
    </row>
    <row r="229" spans="1:32" ht="16" thickBot="1" x14ac:dyDescent="0.25">
      <c r="A229" s="308"/>
      <c r="B229" s="20">
        <f t="shared" si="466"/>
        <v>0</v>
      </c>
      <c r="C229" s="21"/>
      <c r="D229" s="249">
        <f t="shared" si="467"/>
        <v>0</v>
      </c>
      <c r="E229" s="250">
        <f t="shared" si="468"/>
        <v>0</v>
      </c>
      <c r="F229" s="250">
        <f t="shared" si="469"/>
        <v>0</v>
      </c>
      <c r="G229" s="250">
        <f t="shared" si="470"/>
        <v>0</v>
      </c>
      <c r="H229" s="250">
        <f t="shared" si="471"/>
        <v>0</v>
      </c>
      <c r="I229" s="251">
        <f t="shared" si="472"/>
        <v>0</v>
      </c>
      <c r="J229" s="52">
        <f t="shared" si="463"/>
        <v>0</v>
      </c>
      <c r="K229" s="23"/>
      <c r="L229" s="308"/>
      <c r="M229" s="20">
        <f t="shared" si="473"/>
        <v>0</v>
      </c>
      <c r="N229" s="21"/>
      <c r="O229" s="22">
        <f t="shared" si="474"/>
        <v>0</v>
      </c>
      <c r="P229" s="22">
        <f t="shared" si="475"/>
        <v>0</v>
      </c>
      <c r="Q229" s="22">
        <f t="shared" si="476"/>
        <v>0</v>
      </c>
      <c r="R229" s="22">
        <f t="shared" si="477"/>
        <v>0</v>
      </c>
      <c r="S229" s="22">
        <f t="shared" si="478"/>
        <v>0</v>
      </c>
      <c r="T229" s="22">
        <f t="shared" si="479"/>
        <v>0</v>
      </c>
      <c r="U229" s="239">
        <f t="shared" si="464"/>
        <v>0</v>
      </c>
      <c r="V229" s="22"/>
      <c r="W229" s="308"/>
      <c r="X229" s="20">
        <f t="shared" si="480"/>
        <v>0</v>
      </c>
      <c r="Y229" s="21"/>
      <c r="Z229" s="22">
        <f t="shared" si="481"/>
        <v>0</v>
      </c>
      <c r="AA229" s="22">
        <f t="shared" si="482"/>
        <v>0</v>
      </c>
      <c r="AB229" s="22">
        <f t="shared" si="483"/>
        <v>0</v>
      </c>
      <c r="AC229" s="22">
        <f t="shared" si="484"/>
        <v>0</v>
      </c>
      <c r="AD229" s="22">
        <f t="shared" si="485"/>
        <v>0</v>
      </c>
      <c r="AE229" s="22">
        <f t="shared" si="486"/>
        <v>0</v>
      </c>
      <c r="AF229" s="239">
        <f t="shared" si="465"/>
        <v>0</v>
      </c>
    </row>
    <row r="230" spans="1:32" x14ac:dyDescent="0.2">
      <c r="A230" s="308"/>
      <c r="B230" s="24" t="s">
        <v>12</v>
      </c>
      <c r="C230" s="25">
        <v>0.02</v>
      </c>
      <c r="D230" s="253"/>
      <c r="E230" s="253"/>
      <c r="F230" s="253"/>
      <c r="G230" s="253"/>
      <c r="H230" s="253"/>
      <c r="I230" s="253"/>
      <c r="J230" s="53"/>
      <c r="K230" s="23"/>
      <c r="L230" s="308"/>
      <c r="M230" s="24" t="s">
        <v>12</v>
      </c>
      <c r="N230" s="25">
        <v>0.02</v>
      </c>
      <c r="O230" s="26"/>
      <c r="P230" s="26"/>
      <c r="Q230" s="26"/>
      <c r="R230" s="26"/>
      <c r="S230" s="26"/>
      <c r="T230" s="26"/>
      <c r="U230" s="27"/>
      <c r="V230" s="22"/>
      <c r="W230" s="308"/>
      <c r="X230" s="24" t="s">
        <v>12</v>
      </c>
      <c r="Y230" s="25">
        <v>0.02</v>
      </c>
      <c r="Z230" s="26"/>
      <c r="AA230" s="26"/>
      <c r="AB230" s="26"/>
      <c r="AC230" s="26"/>
      <c r="AD230" s="26"/>
      <c r="AE230" s="26"/>
      <c r="AF230" s="27"/>
    </row>
    <row r="231" spans="1:32" ht="16" thickBot="1" x14ac:dyDescent="0.25">
      <c r="A231" s="308"/>
      <c r="B231" s="17" t="s">
        <v>13</v>
      </c>
      <c r="C231" s="17"/>
      <c r="D231" s="28">
        <f>ROUND((D216+D226),0)</f>
        <v>0</v>
      </c>
      <c r="E231" s="28">
        <f t="shared" ref="E231:I231" si="487">ROUND((E216+E226),0)</f>
        <v>0</v>
      </c>
      <c r="F231" s="28">
        <f t="shared" si="487"/>
        <v>0</v>
      </c>
      <c r="G231" s="28">
        <f t="shared" si="487"/>
        <v>0</v>
      </c>
      <c r="H231" s="28">
        <f t="shared" si="487"/>
        <v>0</v>
      </c>
      <c r="I231" s="28">
        <f t="shared" si="487"/>
        <v>0</v>
      </c>
      <c r="J231" s="54">
        <f>SUM(D231:I231)</f>
        <v>0</v>
      </c>
      <c r="K231" s="23"/>
      <c r="L231" s="308"/>
      <c r="M231" s="17" t="s">
        <v>13</v>
      </c>
      <c r="N231" s="17"/>
      <c r="O231" s="28">
        <f>ROUND((O216+O226),0)</f>
        <v>0</v>
      </c>
      <c r="P231" s="28">
        <f t="shared" ref="P231:T231" si="488">ROUND((P216+P226),0)</f>
        <v>0</v>
      </c>
      <c r="Q231" s="28">
        <f t="shared" si="488"/>
        <v>0</v>
      </c>
      <c r="R231" s="28">
        <f t="shared" si="488"/>
        <v>0</v>
      </c>
      <c r="S231" s="28">
        <f t="shared" si="488"/>
        <v>0</v>
      </c>
      <c r="T231" s="28">
        <f t="shared" si="488"/>
        <v>0</v>
      </c>
      <c r="U231" s="28">
        <f>SUM(O231:T231)</f>
        <v>0</v>
      </c>
      <c r="V231" s="22"/>
      <c r="W231" s="308"/>
      <c r="X231" s="17" t="s">
        <v>13</v>
      </c>
      <c r="Y231" s="17"/>
      <c r="Z231" s="28">
        <f>ROUND((Z216+Z226),0)</f>
        <v>0</v>
      </c>
      <c r="AA231" s="28">
        <f t="shared" ref="AA231:AE231" si="489">ROUND((AA216+AA226),0)</f>
        <v>0</v>
      </c>
      <c r="AB231" s="28">
        <f t="shared" si="489"/>
        <v>0</v>
      </c>
      <c r="AC231" s="28">
        <f t="shared" si="489"/>
        <v>0</v>
      </c>
      <c r="AD231" s="28">
        <f t="shared" si="489"/>
        <v>0</v>
      </c>
      <c r="AE231" s="28">
        <f t="shared" si="489"/>
        <v>0</v>
      </c>
      <c r="AF231" s="28">
        <f>SUM(Z231:AE231)</f>
        <v>0</v>
      </c>
    </row>
    <row r="232" spans="1:32" ht="16" thickBot="1" x14ac:dyDescent="0.25">
      <c r="A232" s="307" t="s">
        <v>14</v>
      </c>
      <c r="B232" s="37" t="s">
        <v>15</v>
      </c>
      <c r="C232" s="37"/>
      <c r="D232" s="256">
        <f t="shared" ref="D232:I232" si="490">+D215</f>
        <v>2019</v>
      </c>
      <c r="E232" s="256">
        <f t="shared" si="490"/>
        <v>2020</v>
      </c>
      <c r="F232" s="256">
        <f t="shared" si="490"/>
        <v>2021</v>
      </c>
      <c r="G232" s="256">
        <f t="shared" si="490"/>
        <v>2022</v>
      </c>
      <c r="H232" s="256">
        <f t="shared" si="490"/>
        <v>2023</v>
      </c>
      <c r="I232" s="256">
        <f t="shared" si="490"/>
        <v>2024</v>
      </c>
      <c r="J232" s="46" t="s">
        <v>11</v>
      </c>
      <c r="L232" s="307" t="s">
        <v>14</v>
      </c>
      <c r="M232" s="37" t="s">
        <v>15</v>
      </c>
      <c r="N232" s="37"/>
      <c r="O232" s="13">
        <f t="shared" ref="O232:T232" si="491">+O215</f>
        <v>2019</v>
      </c>
      <c r="P232" s="13">
        <f t="shared" si="491"/>
        <v>2020</v>
      </c>
      <c r="Q232" s="13">
        <f t="shared" si="491"/>
        <v>2021</v>
      </c>
      <c r="R232" s="13">
        <f t="shared" si="491"/>
        <v>2022</v>
      </c>
      <c r="S232" s="13">
        <f t="shared" si="491"/>
        <v>2023</v>
      </c>
      <c r="T232" s="13">
        <f t="shared" si="491"/>
        <v>2024</v>
      </c>
      <c r="U232" s="256" t="s">
        <v>11</v>
      </c>
      <c r="V232" s="14"/>
      <c r="W232" s="307" t="s">
        <v>14</v>
      </c>
      <c r="X232" s="37" t="s">
        <v>15</v>
      </c>
      <c r="Y232" s="37"/>
      <c r="Z232" s="13">
        <f t="shared" ref="Z232:AE232" si="492">+Z215</f>
        <v>2019</v>
      </c>
      <c r="AA232" s="13">
        <f t="shared" si="492"/>
        <v>2020</v>
      </c>
      <c r="AB232" s="13">
        <f t="shared" si="492"/>
        <v>2021</v>
      </c>
      <c r="AC232" s="13">
        <f t="shared" si="492"/>
        <v>2022</v>
      </c>
      <c r="AD232" s="13">
        <f t="shared" si="492"/>
        <v>2023</v>
      </c>
      <c r="AE232" s="13">
        <f t="shared" si="492"/>
        <v>2024</v>
      </c>
      <c r="AF232" s="256" t="s">
        <v>11</v>
      </c>
    </row>
    <row r="233" spans="1:32" x14ac:dyDescent="0.2">
      <c r="A233" s="308"/>
      <c r="B233" s="79"/>
      <c r="C233" s="254"/>
      <c r="D233" s="258"/>
      <c r="E233" s="259"/>
      <c r="F233" s="259"/>
      <c r="G233" s="259"/>
      <c r="H233" s="259"/>
      <c r="I233" s="260"/>
      <c r="J233" s="50">
        <f>SUM(D233:I233)</f>
        <v>0</v>
      </c>
      <c r="L233" s="308"/>
      <c r="M233" s="79"/>
      <c r="N233" s="80"/>
      <c r="O233" s="29"/>
      <c r="P233" s="29"/>
      <c r="Q233" s="29"/>
      <c r="R233" s="29"/>
      <c r="S233" s="29"/>
      <c r="T233" s="29"/>
      <c r="U233" s="237">
        <f>SUM(O233:T233)</f>
        <v>0</v>
      </c>
      <c r="V233" s="22"/>
      <c r="W233" s="308"/>
      <c r="X233" s="79"/>
      <c r="Y233" s="80"/>
      <c r="Z233" s="29"/>
      <c r="AA233" s="29"/>
      <c r="AB233" s="29"/>
      <c r="AC233" s="29"/>
      <c r="AD233" s="29"/>
      <c r="AE233" s="29"/>
      <c r="AF233" s="237">
        <f>SUM(Z233:AE233)</f>
        <v>0</v>
      </c>
    </row>
    <row r="234" spans="1:32" x14ac:dyDescent="0.2">
      <c r="A234" s="308"/>
      <c r="B234" s="77"/>
      <c r="C234" s="15"/>
      <c r="D234" s="261"/>
      <c r="E234" s="29"/>
      <c r="F234" s="29"/>
      <c r="G234" s="29"/>
      <c r="H234" s="29"/>
      <c r="I234" s="262"/>
      <c r="J234" s="50">
        <f>SUM(D234:I234)</f>
        <v>0</v>
      </c>
      <c r="L234" s="308"/>
      <c r="M234" s="77"/>
      <c r="N234" s="78"/>
      <c r="O234" s="29"/>
      <c r="P234" s="29"/>
      <c r="Q234" s="29"/>
      <c r="R234" s="29"/>
      <c r="S234" s="29"/>
      <c r="T234" s="29"/>
      <c r="U234" s="238">
        <f>SUM(O234:T234)</f>
        <v>0</v>
      </c>
      <c r="V234" s="22"/>
      <c r="W234" s="308"/>
      <c r="X234" s="77"/>
      <c r="Y234" s="78"/>
      <c r="Z234" s="29"/>
      <c r="AA234" s="29"/>
      <c r="AB234" s="29"/>
      <c r="AC234" s="29"/>
      <c r="AD234" s="29"/>
      <c r="AE234" s="29"/>
      <c r="AF234" s="238">
        <f>SUM(Z234:AE234)</f>
        <v>0</v>
      </c>
    </row>
    <row r="235" spans="1:32" ht="16" thickBot="1" x14ac:dyDescent="0.25">
      <c r="A235" s="308"/>
      <c r="B235" s="81"/>
      <c r="C235" s="255"/>
      <c r="D235" s="263"/>
      <c r="E235" s="264"/>
      <c r="F235" s="264"/>
      <c r="G235" s="264"/>
      <c r="H235" s="264"/>
      <c r="I235" s="265"/>
      <c r="J235" s="50">
        <f>SUM(D235:I235)</f>
        <v>0</v>
      </c>
      <c r="L235" s="308"/>
      <c r="M235" s="81"/>
      <c r="N235" s="82"/>
      <c r="O235" s="29"/>
      <c r="P235" s="29"/>
      <c r="Q235" s="29"/>
      <c r="R235" s="29"/>
      <c r="S235" s="29"/>
      <c r="T235" s="29"/>
      <c r="U235" s="239">
        <f>SUM(O235:T235)</f>
        <v>0</v>
      </c>
      <c r="V235" s="22"/>
      <c r="W235" s="308"/>
      <c r="X235" s="81"/>
      <c r="Y235" s="82"/>
      <c r="Z235" s="29"/>
      <c r="AA235" s="29"/>
      <c r="AB235" s="29"/>
      <c r="AC235" s="29"/>
      <c r="AD235" s="29"/>
      <c r="AE235" s="29"/>
      <c r="AF235" s="239">
        <f>SUM(Z235:AE235)</f>
        <v>0</v>
      </c>
    </row>
    <row r="236" spans="1:32" ht="16" thickBot="1" x14ac:dyDescent="0.25">
      <c r="A236" s="308"/>
      <c r="B236" s="17" t="s">
        <v>16</v>
      </c>
      <c r="C236" s="17"/>
      <c r="D236" s="257">
        <f t="shared" ref="D236:I236" si="493">ROUND(SUM(D233:D235),0)</f>
        <v>0</v>
      </c>
      <c r="E236" s="257">
        <f t="shared" si="493"/>
        <v>0</v>
      </c>
      <c r="F236" s="257">
        <f t="shared" si="493"/>
        <v>0</v>
      </c>
      <c r="G236" s="257">
        <f t="shared" si="493"/>
        <v>0</v>
      </c>
      <c r="H236" s="257">
        <f t="shared" si="493"/>
        <v>0</v>
      </c>
      <c r="I236" s="257">
        <f t="shared" si="493"/>
        <v>0</v>
      </c>
      <c r="J236" s="54">
        <f>SUM(D236:I236)</f>
        <v>0</v>
      </c>
      <c r="L236" s="308"/>
      <c r="M236" s="17" t="s">
        <v>16</v>
      </c>
      <c r="N236" s="17"/>
      <c r="O236" s="28">
        <f t="shared" ref="O236:T236" si="494">ROUND(SUM(O233:O235),0)</f>
        <v>0</v>
      </c>
      <c r="P236" s="28">
        <f t="shared" si="494"/>
        <v>0</v>
      </c>
      <c r="Q236" s="28">
        <f t="shared" si="494"/>
        <v>0</v>
      </c>
      <c r="R236" s="28">
        <f t="shared" si="494"/>
        <v>0</v>
      </c>
      <c r="S236" s="28">
        <f t="shared" si="494"/>
        <v>0</v>
      </c>
      <c r="T236" s="28">
        <f t="shared" si="494"/>
        <v>0</v>
      </c>
      <c r="U236" s="257">
        <f>SUM(O236:T236)</f>
        <v>0</v>
      </c>
      <c r="V236" s="22"/>
      <c r="W236" s="308"/>
      <c r="X236" s="17" t="s">
        <v>16</v>
      </c>
      <c r="Y236" s="17"/>
      <c r="Z236" s="28">
        <f t="shared" ref="Z236:AE236" si="495">ROUND(SUM(Z233:Z235),0)</f>
        <v>0</v>
      </c>
      <c r="AA236" s="28">
        <f t="shared" si="495"/>
        <v>0</v>
      </c>
      <c r="AB236" s="28">
        <f t="shared" si="495"/>
        <v>0</v>
      </c>
      <c r="AC236" s="28">
        <f t="shared" si="495"/>
        <v>0</v>
      </c>
      <c r="AD236" s="28">
        <f t="shared" si="495"/>
        <v>0</v>
      </c>
      <c r="AE236" s="28">
        <f t="shared" si="495"/>
        <v>0</v>
      </c>
      <c r="AF236" s="257">
        <f>SUM(Z236:AE236)</f>
        <v>0</v>
      </c>
    </row>
    <row r="237" spans="1:32" ht="16" thickBot="1" x14ac:dyDescent="0.25">
      <c r="A237" s="307" t="s">
        <v>17</v>
      </c>
      <c r="B237" s="37" t="s">
        <v>31</v>
      </c>
      <c r="C237" s="37"/>
      <c r="D237" s="256">
        <f t="shared" ref="D237:I237" si="496">D199</f>
        <v>2019</v>
      </c>
      <c r="E237" s="256">
        <f t="shared" si="496"/>
        <v>2020</v>
      </c>
      <c r="F237" s="256">
        <f t="shared" si="496"/>
        <v>2021</v>
      </c>
      <c r="G237" s="256">
        <f t="shared" si="496"/>
        <v>2022</v>
      </c>
      <c r="H237" s="256">
        <f t="shared" si="496"/>
        <v>2023</v>
      </c>
      <c r="I237" s="256">
        <f t="shared" si="496"/>
        <v>2024</v>
      </c>
      <c r="J237" s="46" t="s">
        <v>11</v>
      </c>
      <c r="L237" s="307" t="s">
        <v>17</v>
      </c>
      <c r="M237" s="37" t="s">
        <v>31</v>
      </c>
      <c r="N237" s="37"/>
      <c r="O237" s="13">
        <f t="shared" ref="O237:T237" si="497">O199</f>
        <v>2019</v>
      </c>
      <c r="P237" s="13">
        <f t="shared" si="497"/>
        <v>2020</v>
      </c>
      <c r="Q237" s="13">
        <f t="shared" si="497"/>
        <v>2021</v>
      </c>
      <c r="R237" s="13">
        <f t="shared" si="497"/>
        <v>2022</v>
      </c>
      <c r="S237" s="13">
        <f t="shared" si="497"/>
        <v>2023</v>
      </c>
      <c r="T237" s="13">
        <f t="shared" si="497"/>
        <v>2024</v>
      </c>
      <c r="U237" s="256" t="s">
        <v>11</v>
      </c>
      <c r="V237" s="14"/>
      <c r="W237" s="307" t="s">
        <v>17</v>
      </c>
      <c r="X237" s="37" t="s">
        <v>31</v>
      </c>
      <c r="Y237" s="37"/>
      <c r="Z237" s="13">
        <f t="shared" ref="Z237:AE237" si="498">Z199</f>
        <v>2019</v>
      </c>
      <c r="AA237" s="13">
        <f t="shared" si="498"/>
        <v>2020</v>
      </c>
      <c r="AB237" s="13">
        <f t="shared" si="498"/>
        <v>2021</v>
      </c>
      <c r="AC237" s="13">
        <f t="shared" si="498"/>
        <v>2022</v>
      </c>
      <c r="AD237" s="13">
        <f t="shared" si="498"/>
        <v>2023</v>
      </c>
      <c r="AE237" s="13">
        <f t="shared" si="498"/>
        <v>2024</v>
      </c>
      <c r="AF237" s="256" t="s">
        <v>11</v>
      </c>
    </row>
    <row r="238" spans="1:32" x14ac:dyDescent="0.2">
      <c r="A238" s="308"/>
      <c r="B238" s="79"/>
      <c r="C238" s="254"/>
      <c r="D238" s="258"/>
      <c r="E238" s="259"/>
      <c r="F238" s="259"/>
      <c r="G238" s="259"/>
      <c r="H238" s="259"/>
      <c r="I238" s="260"/>
      <c r="J238" s="50">
        <f t="shared" ref="J238:J251" si="499">SUM(D238:I238)</f>
        <v>0</v>
      </c>
      <c r="L238" s="308"/>
      <c r="M238" s="79"/>
      <c r="N238" s="80"/>
      <c r="O238" s="29"/>
      <c r="P238" s="29"/>
      <c r="Q238" s="29"/>
      <c r="R238" s="29"/>
      <c r="S238" s="29"/>
      <c r="T238" s="29"/>
      <c r="U238" s="237">
        <f t="shared" ref="U238:U251" si="500">SUM(O238:T238)</f>
        <v>0</v>
      </c>
      <c r="V238" s="16"/>
      <c r="W238" s="308"/>
      <c r="X238" s="79"/>
      <c r="Y238" s="80"/>
      <c r="Z238" s="29"/>
      <c r="AA238" s="29"/>
      <c r="AB238" s="29"/>
      <c r="AC238" s="29"/>
      <c r="AD238" s="29"/>
      <c r="AE238" s="29"/>
      <c r="AF238" s="237">
        <f t="shared" ref="AF238:AF251" si="501">SUM(Z238:AE238)</f>
        <v>0</v>
      </c>
    </row>
    <row r="239" spans="1:32" x14ac:dyDescent="0.2">
      <c r="A239" s="308"/>
      <c r="B239" s="85"/>
      <c r="C239" s="266"/>
      <c r="D239" s="261"/>
      <c r="E239" s="29"/>
      <c r="F239" s="29"/>
      <c r="G239" s="29"/>
      <c r="H239" s="29"/>
      <c r="I239" s="262"/>
      <c r="J239" s="50">
        <f t="shared" si="499"/>
        <v>0</v>
      </c>
      <c r="L239" s="308"/>
      <c r="M239" s="85"/>
      <c r="N239" s="57"/>
      <c r="O239" s="29"/>
      <c r="P239" s="29"/>
      <c r="Q239" s="29"/>
      <c r="R239" s="29"/>
      <c r="S239" s="29"/>
      <c r="T239" s="29"/>
      <c r="U239" s="238">
        <f t="shared" si="500"/>
        <v>0</v>
      </c>
      <c r="V239" s="16"/>
      <c r="W239" s="308"/>
      <c r="X239" s="85"/>
      <c r="Y239" s="57"/>
      <c r="Z239" s="29"/>
      <c r="AA239" s="29"/>
      <c r="AB239" s="29"/>
      <c r="AC239" s="29"/>
      <c r="AD239" s="29"/>
      <c r="AE239" s="29"/>
      <c r="AF239" s="238">
        <f t="shared" si="501"/>
        <v>0</v>
      </c>
    </row>
    <row r="240" spans="1:32" x14ac:dyDescent="0.2">
      <c r="A240" s="308"/>
      <c r="B240" s="56"/>
      <c r="C240" s="266"/>
      <c r="D240" s="261"/>
      <c r="E240" s="29"/>
      <c r="F240" s="29"/>
      <c r="G240" s="29"/>
      <c r="H240" s="29"/>
      <c r="I240" s="262"/>
      <c r="J240" s="50">
        <f t="shared" si="499"/>
        <v>0</v>
      </c>
      <c r="L240" s="308"/>
      <c r="M240" s="56"/>
      <c r="N240" s="57"/>
      <c r="O240" s="29"/>
      <c r="P240" s="29"/>
      <c r="Q240" s="29"/>
      <c r="R240" s="29"/>
      <c r="S240" s="29"/>
      <c r="T240" s="29"/>
      <c r="U240" s="238">
        <f t="shared" si="500"/>
        <v>0</v>
      </c>
      <c r="V240" s="16"/>
      <c r="W240" s="308"/>
      <c r="X240" s="56"/>
      <c r="Y240" s="57"/>
      <c r="Z240" s="29"/>
      <c r="AA240" s="29"/>
      <c r="AB240" s="29"/>
      <c r="AC240" s="29"/>
      <c r="AD240" s="29"/>
      <c r="AE240" s="29"/>
      <c r="AF240" s="238">
        <f t="shared" si="501"/>
        <v>0</v>
      </c>
    </row>
    <row r="241" spans="1:32" x14ac:dyDescent="0.2">
      <c r="A241" s="308"/>
      <c r="B241" s="56"/>
      <c r="C241" s="266"/>
      <c r="D241" s="261"/>
      <c r="E241" s="29"/>
      <c r="F241" s="29"/>
      <c r="G241" s="29"/>
      <c r="H241" s="29"/>
      <c r="I241" s="262"/>
      <c r="J241" s="50">
        <f t="shared" si="499"/>
        <v>0</v>
      </c>
      <c r="L241" s="308"/>
      <c r="M241" s="56"/>
      <c r="N241" s="57"/>
      <c r="O241" s="29"/>
      <c r="P241" s="29"/>
      <c r="Q241" s="29"/>
      <c r="R241" s="29"/>
      <c r="S241" s="29"/>
      <c r="T241" s="29"/>
      <c r="U241" s="238">
        <f t="shared" si="500"/>
        <v>0</v>
      </c>
      <c r="V241" s="16"/>
      <c r="W241" s="308"/>
      <c r="X241" s="56"/>
      <c r="Y241" s="57"/>
      <c r="Z241" s="29"/>
      <c r="AA241" s="29"/>
      <c r="AB241" s="29"/>
      <c r="AC241" s="29"/>
      <c r="AD241" s="29"/>
      <c r="AE241" s="29"/>
      <c r="AF241" s="238">
        <f t="shared" si="501"/>
        <v>0</v>
      </c>
    </row>
    <row r="242" spans="1:32" x14ac:dyDescent="0.2">
      <c r="A242" s="308"/>
      <c r="B242" s="56"/>
      <c r="C242" s="266"/>
      <c r="D242" s="261"/>
      <c r="E242" s="29"/>
      <c r="F242" s="29"/>
      <c r="G242" s="29"/>
      <c r="H242" s="29"/>
      <c r="I242" s="262"/>
      <c r="J242" s="50">
        <f t="shared" si="499"/>
        <v>0</v>
      </c>
      <c r="L242" s="308"/>
      <c r="M242" s="56"/>
      <c r="N242" s="57"/>
      <c r="O242" s="29"/>
      <c r="P242" s="29"/>
      <c r="Q242" s="29"/>
      <c r="R242" s="29"/>
      <c r="S242" s="29"/>
      <c r="T242" s="29"/>
      <c r="U242" s="238">
        <f t="shared" si="500"/>
        <v>0</v>
      </c>
      <c r="V242" s="16"/>
      <c r="W242" s="308"/>
      <c r="X242" s="56"/>
      <c r="Y242" s="57"/>
      <c r="Z242" s="29"/>
      <c r="AA242" s="29"/>
      <c r="AB242" s="29"/>
      <c r="AC242" s="29"/>
      <c r="AD242" s="29"/>
      <c r="AE242" s="29"/>
      <c r="AF242" s="238">
        <f t="shared" si="501"/>
        <v>0</v>
      </c>
    </row>
    <row r="243" spans="1:32" x14ac:dyDescent="0.2">
      <c r="A243" s="308"/>
      <c r="B243" s="56"/>
      <c r="C243" s="266"/>
      <c r="D243" s="261"/>
      <c r="E243" s="29"/>
      <c r="F243" s="29"/>
      <c r="G243" s="29"/>
      <c r="H243" s="29"/>
      <c r="I243" s="262"/>
      <c r="J243" s="50">
        <f t="shared" si="499"/>
        <v>0</v>
      </c>
      <c r="L243" s="308"/>
      <c r="M243" s="56"/>
      <c r="N243" s="57"/>
      <c r="O243" s="29"/>
      <c r="P243" s="29"/>
      <c r="Q243" s="29"/>
      <c r="R243" s="29"/>
      <c r="S243" s="29"/>
      <c r="T243" s="29"/>
      <c r="U243" s="238">
        <f t="shared" si="500"/>
        <v>0</v>
      </c>
      <c r="V243" s="16"/>
      <c r="W243" s="308"/>
      <c r="X243" s="56"/>
      <c r="Y243" s="57"/>
      <c r="Z243" s="29"/>
      <c r="AA243" s="29"/>
      <c r="AB243" s="29"/>
      <c r="AC243" s="29"/>
      <c r="AD243" s="29"/>
      <c r="AE243" s="29"/>
      <c r="AF243" s="238">
        <f t="shared" si="501"/>
        <v>0</v>
      </c>
    </row>
    <row r="244" spans="1:32" x14ac:dyDescent="0.2">
      <c r="A244" s="308"/>
      <c r="B244" s="56"/>
      <c r="C244" s="266"/>
      <c r="D244" s="261"/>
      <c r="E244" s="29"/>
      <c r="F244" s="29"/>
      <c r="G244" s="29"/>
      <c r="H244" s="29"/>
      <c r="I244" s="262"/>
      <c r="J244" s="50">
        <f t="shared" si="499"/>
        <v>0</v>
      </c>
      <c r="L244" s="308"/>
      <c r="M244" s="56"/>
      <c r="N244" s="57"/>
      <c r="O244" s="29"/>
      <c r="P244" s="29"/>
      <c r="Q244" s="29"/>
      <c r="R244" s="29"/>
      <c r="S244" s="29"/>
      <c r="T244" s="29"/>
      <c r="U244" s="238">
        <f t="shared" si="500"/>
        <v>0</v>
      </c>
      <c r="V244" s="16"/>
      <c r="W244" s="308"/>
      <c r="X244" s="56"/>
      <c r="Y244" s="57"/>
      <c r="Z244" s="29"/>
      <c r="AA244" s="29"/>
      <c r="AB244" s="29"/>
      <c r="AC244" s="29"/>
      <c r="AD244" s="29"/>
      <c r="AE244" s="29"/>
      <c r="AF244" s="238">
        <f t="shared" si="501"/>
        <v>0</v>
      </c>
    </row>
    <row r="245" spans="1:32" x14ac:dyDescent="0.2">
      <c r="A245" s="308"/>
      <c r="B245" s="77"/>
      <c r="C245" s="15"/>
      <c r="D245" s="261"/>
      <c r="E245" s="29"/>
      <c r="F245" s="29"/>
      <c r="G245" s="29"/>
      <c r="H245" s="29"/>
      <c r="I245" s="262"/>
      <c r="J245" s="50">
        <f t="shared" si="499"/>
        <v>0</v>
      </c>
      <c r="L245" s="308"/>
      <c r="M245" s="77"/>
      <c r="N245" s="78"/>
      <c r="O245" s="29"/>
      <c r="P245" s="29"/>
      <c r="Q245" s="29"/>
      <c r="R245" s="29"/>
      <c r="S245" s="29"/>
      <c r="T245" s="29"/>
      <c r="U245" s="238">
        <f t="shared" si="500"/>
        <v>0</v>
      </c>
      <c r="V245" s="16"/>
      <c r="W245" s="308"/>
      <c r="X245" s="77"/>
      <c r="Y245" s="78"/>
      <c r="Z245" s="29"/>
      <c r="AA245" s="29"/>
      <c r="AB245" s="29"/>
      <c r="AC245" s="29"/>
      <c r="AD245" s="29"/>
      <c r="AE245" s="29"/>
      <c r="AF245" s="238">
        <f t="shared" si="501"/>
        <v>0</v>
      </c>
    </row>
    <row r="246" spans="1:32" x14ac:dyDescent="0.2">
      <c r="A246" s="308"/>
      <c r="B246" s="56"/>
      <c r="C246" s="266"/>
      <c r="D246" s="261"/>
      <c r="E246" s="29"/>
      <c r="F246" s="29"/>
      <c r="G246" s="29"/>
      <c r="H246" s="29"/>
      <c r="I246" s="262"/>
      <c r="J246" s="50">
        <f t="shared" si="499"/>
        <v>0</v>
      </c>
      <c r="L246" s="308"/>
      <c r="M246" s="56"/>
      <c r="N246" s="57"/>
      <c r="O246" s="29"/>
      <c r="P246" s="29"/>
      <c r="Q246" s="29"/>
      <c r="R246" s="29"/>
      <c r="S246" s="29"/>
      <c r="T246" s="29"/>
      <c r="U246" s="238">
        <f t="shared" si="500"/>
        <v>0</v>
      </c>
      <c r="V246" s="16"/>
      <c r="W246" s="308"/>
      <c r="X246" s="56"/>
      <c r="Y246" s="57"/>
      <c r="Z246" s="29"/>
      <c r="AA246" s="29"/>
      <c r="AB246" s="29"/>
      <c r="AC246" s="29"/>
      <c r="AD246" s="29"/>
      <c r="AE246" s="29"/>
      <c r="AF246" s="238">
        <f t="shared" si="501"/>
        <v>0</v>
      </c>
    </row>
    <row r="247" spans="1:32" x14ac:dyDescent="0.2">
      <c r="A247" s="308"/>
      <c r="B247" s="77"/>
      <c r="C247" s="15"/>
      <c r="D247" s="261"/>
      <c r="E247" s="29"/>
      <c r="F247" s="29"/>
      <c r="G247" s="29"/>
      <c r="H247" s="29"/>
      <c r="I247" s="262"/>
      <c r="J247" s="50">
        <f t="shared" si="499"/>
        <v>0</v>
      </c>
      <c r="L247" s="308"/>
      <c r="M247" s="77"/>
      <c r="N247" s="78"/>
      <c r="O247" s="29"/>
      <c r="P247" s="29"/>
      <c r="Q247" s="29"/>
      <c r="R247" s="29"/>
      <c r="S247" s="29"/>
      <c r="T247" s="29"/>
      <c r="U247" s="238">
        <f t="shared" si="500"/>
        <v>0</v>
      </c>
      <c r="V247" s="16"/>
      <c r="W247" s="308"/>
      <c r="X247" s="77"/>
      <c r="Y247" s="78"/>
      <c r="Z247" s="29"/>
      <c r="AA247" s="29"/>
      <c r="AB247" s="29"/>
      <c r="AC247" s="29"/>
      <c r="AD247" s="29"/>
      <c r="AE247" s="29"/>
      <c r="AF247" s="238">
        <f t="shared" si="501"/>
        <v>0</v>
      </c>
    </row>
    <row r="248" spans="1:32" x14ac:dyDescent="0.2">
      <c r="A248" s="308"/>
      <c r="B248" s="56"/>
      <c r="C248" s="266"/>
      <c r="D248" s="261"/>
      <c r="E248" s="29"/>
      <c r="F248" s="29"/>
      <c r="G248" s="29"/>
      <c r="H248" s="29"/>
      <c r="I248" s="262"/>
      <c r="J248" s="50">
        <f t="shared" si="499"/>
        <v>0</v>
      </c>
      <c r="L248" s="308"/>
      <c r="M248" s="56"/>
      <c r="N248" s="57"/>
      <c r="O248" s="29"/>
      <c r="P248" s="29"/>
      <c r="Q248" s="29"/>
      <c r="R248" s="29"/>
      <c r="S248" s="29"/>
      <c r="T248" s="29"/>
      <c r="U248" s="238">
        <f t="shared" si="500"/>
        <v>0</v>
      </c>
      <c r="V248" s="16"/>
      <c r="W248" s="308"/>
      <c r="X248" s="56"/>
      <c r="Y248" s="57"/>
      <c r="Z248" s="29"/>
      <c r="AA248" s="29"/>
      <c r="AB248" s="29"/>
      <c r="AC248" s="29"/>
      <c r="AD248" s="29"/>
      <c r="AE248" s="29"/>
      <c r="AF248" s="238">
        <f t="shared" si="501"/>
        <v>0</v>
      </c>
    </row>
    <row r="249" spans="1:32" x14ac:dyDescent="0.2">
      <c r="A249" s="308"/>
      <c r="B249" s="77"/>
      <c r="C249" s="15"/>
      <c r="D249" s="261"/>
      <c r="E249" s="29"/>
      <c r="F249" s="29"/>
      <c r="G249" s="29"/>
      <c r="H249" s="29"/>
      <c r="I249" s="262"/>
      <c r="J249" s="50">
        <f t="shared" si="499"/>
        <v>0</v>
      </c>
      <c r="L249" s="308"/>
      <c r="M249" s="77"/>
      <c r="N249" s="78"/>
      <c r="O249" s="29"/>
      <c r="P249" s="29"/>
      <c r="Q249" s="29"/>
      <c r="R249" s="29"/>
      <c r="S249" s="29"/>
      <c r="T249" s="29"/>
      <c r="U249" s="238">
        <f t="shared" si="500"/>
        <v>0</v>
      </c>
      <c r="V249" s="16"/>
      <c r="W249" s="308"/>
      <c r="X249" s="77"/>
      <c r="Y249" s="78"/>
      <c r="Z249" s="29"/>
      <c r="AA249" s="29"/>
      <c r="AB249" s="29"/>
      <c r="AC249" s="29"/>
      <c r="AD249" s="29"/>
      <c r="AE249" s="29"/>
      <c r="AF249" s="238">
        <f t="shared" si="501"/>
        <v>0</v>
      </c>
    </row>
    <row r="250" spans="1:32" ht="16" thickBot="1" x14ac:dyDescent="0.25">
      <c r="A250" s="308"/>
      <c r="B250" s="81"/>
      <c r="C250" s="255"/>
      <c r="D250" s="263"/>
      <c r="E250" s="264"/>
      <c r="F250" s="264"/>
      <c r="G250" s="264"/>
      <c r="H250" s="264"/>
      <c r="I250" s="265"/>
      <c r="J250" s="50">
        <f t="shared" si="499"/>
        <v>0</v>
      </c>
      <c r="L250" s="308"/>
      <c r="M250" s="81"/>
      <c r="N250" s="82"/>
      <c r="O250" s="29"/>
      <c r="P250" s="29"/>
      <c r="Q250" s="29"/>
      <c r="R250" s="29"/>
      <c r="S250" s="29"/>
      <c r="T250" s="29"/>
      <c r="U250" s="239">
        <f t="shared" si="500"/>
        <v>0</v>
      </c>
      <c r="V250" s="16"/>
      <c r="W250" s="308"/>
      <c r="X250" s="81"/>
      <c r="Y250" s="82"/>
      <c r="Z250" s="29"/>
      <c r="AA250" s="29"/>
      <c r="AB250" s="29"/>
      <c r="AC250" s="29"/>
      <c r="AD250" s="29"/>
      <c r="AE250" s="29"/>
      <c r="AF250" s="239">
        <f t="shared" si="501"/>
        <v>0</v>
      </c>
    </row>
    <row r="251" spans="1:32" ht="16" thickBot="1" x14ac:dyDescent="0.25">
      <c r="A251" s="308"/>
      <c r="B251" s="17" t="s">
        <v>32</v>
      </c>
      <c r="C251" s="17"/>
      <c r="D251" s="257">
        <f t="shared" ref="D251:I251" si="502">ROUND(SUM(D238:D250),0)</f>
        <v>0</v>
      </c>
      <c r="E251" s="257">
        <f t="shared" si="502"/>
        <v>0</v>
      </c>
      <c r="F251" s="257">
        <f t="shared" si="502"/>
        <v>0</v>
      </c>
      <c r="G251" s="257">
        <f t="shared" si="502"/>
        <v>0</v>
      </c>
      <c r="H251" s="257">
        <f t="shared" si="502"/>
        <v>0</v>
      </c>
      <c r="I251" s="257">
        <f t="shared" si="502"/>
        <v>0</v>
      </c>
      <c r="J251" s="54">
        <f t="shared" si="499"/>
        <v>0</v>
      </c>
      <c r="L251" s="308"/>
      <c r="M251" s="17" t="s">
        <v>32</v>
      </c>
      <c r="N251" s="17"/>
      <c r="O251" s="28">
        <f t="shared" ref="O251:T251" si="503">ROUND(SUM(O238:O250),0)</f>
        <v>0</v>
      </c>
      <c r="P251" s="28">
        <f t="shared" si="503"/>
        <v>0</v>
      </c>
      <c r="Q251" s="28">
        <f t="shared" si="503"/>
        <v>0</v>
      </c>
      <c r="R251" s="28">
        <f t="shared" si="503"/>
        <v>0</v>
      </c>
      <c r="S251" s="28">
        <f t="shared" si="503"/>
        <v>0</v>
      </c>
      <c r="T251" s="28">
        <f t="shared" si="503"/>
        <v>0</v>
      </c>
      <c r="U251" s="257">
        <f t="shared" si="500"/>
        <v>0</v>
      </c>
      <c r="V251" s="22"/>
      <c r="W251" s="308"/>
      <c r="X251" s="17" t="s">
        <v>32</v>
      </c>
      <c r="Y251" s="17"/>
      <c r="Z251" s="28">
        <f t="shared" ref="Z251:AE251" si="504">ROUND(SUM(Z238:Z250),0)</f>
        <v>0</v>
      </c>
      <c r="AA251" s="28">
        <f t="shared" si="504"/>
        <v>0</v>
      </c>
      <c r="AB251" s="28">
        <f t="shared" si="504"/>
        <v>0</v>
      </c>
      <c r="AC251" s="28">
        <f t="shared" si="504"/>
        <v>0</v>
      </c>
      <c r="AD251" s="28">
        <f t="shared" si="504"/>
        <v>0</v>
      </c>
      <c r="AE251" s="28">
        <f t="shared" si="504"/>
        <v>0</v>
      </c>
      <c r="AF251" s="257">
        <f t="shared" si="501"/>
        <v>0</v>
      </c>
    </row>
    <row r="252" spans="1:32" x14ac:dyDescent="0.2">
      <c r="A252" s="304" t="s">
        <v>18</v>
      </c>
      <c r="B252" s="37"/>
      <c r="C252" s="37"/>
      <c r="D252" s="13">
        <f t="shared" ref="D252:I252" si="505">D199</f>
        <v>2019</v>
      </c>
      <c r="E252" s="13">
        <f t="shared" si="505"/>
        <v>2020</v>
      </c>
      <c r="F252" s="13">
        <f t="shared" si="505"/>
        <v>2021</v>
      </c>
      <c r="G252" s="13">
        <f t="shared" si="505"/>
        <v>2022</v>
      </c>
      <c r="H252" s="13">
        <f t="shared" si="505"/>
        <v>2023</v>
      </c>
      <c r="I252" s="13">
        <f t="shared" si="505"/>
        <v>2024</v>
      </c>
      <c r="J252" s="46" t="s">
        <v>0</v>
      </c>
      <c r="L252" s="304" t="s">
        <v>18</v>
      </c>
      <c r="M252" s="37"/>
      <c r="N252" s="37"/>
      <c r="O252" s="13">
        <f t="shared" ref="O252:T252" si="506">O199</f>
        <v>2019</v>
      </c>
      <c r="P252" s="13">
        <f t="shared" si="506"/>
        <v>2020</v>
      </c>
      <c r="Q252" s="13">
        <f t="shared" si="506"/>
        <v>2021</v>
      </c>
      <c r="R252" s="13">
        <f t="shared" si="506"/>
        <v>2022</v>
      </c>
      <c r="S252" s="13">
        <f t="shared" si="506"/>
        <v>2023</v>
      </c>
      <c r="T252" s="13">
        <f t="shared" si="506"/>
        <v>2024</v>
      </c>
      <c r="U252" s="13" t="s">
        <v>0</v>
      </c>
      <c r="V252" s="14"/>
      <c r="W252" s="304" t="s">
        <v>18</v>
      </c>
      <c r="X252" s="37"/>
      <c r="Y252" s="37"/>
      <c r="Z252" s="13">
        <f t="shared" ref="Z252:AE252" si="507">Z199</f>
        <v>2019</v>
      </c>
      <c r="AA252" s="13">
        <f t="shared" si="507"/>
        <v>2020</v>
      </c>
      <c r="AB252" s="13">
        <f t="shared" si="507"/>
        <v>2021</v>
      </c>
      <c r="AC252" s="13">
        <f t="shared" si="507"/>
        <v>2022</v>
      </c>
      <c r="AD252" s="13">
        <f t="shared" si="507"/>
        <v>2023</v>
      </c>
      <c r="AE252" s="13">
        <f t="shared" si="507"/>
        <v>2024</v>
      </c>
      <c r="AF252" s="13" t="s">
        <v>0</v>
      </c>
    </row>
    <row r="253" spans="1:32" x14ac:dyDescent="0.2">
      <c r="A253" s="305"/>
      <c r="B253" s="33" t="s">
        <v>19</v>
      </c>
      <c r="C253" s="33"/>
      <c r="D253" s="22">
        <f t="shared" ref="D253:I253" si="508">D231+D236+D251</f>
        <v>0</v>
      </c>
      <c r="E253" s="22">
        <f t="shared" si="508"/>
        <v>0</v>
      </c>
      <c r="F253" s="22">
        <f t="shared" si="508"/>
        <v>0</v>
      </c>
      <c r="G253" s="22">
        <f t="shared" si="508"/>
        <v>0</v>
      </c>
      <c r="H253" s="22">
        <f t="shared" si="508"/>
        <v>0</v>
      </c>
      <c r="I253" s="22">
        <f t="shared" si="508"/>
        <v>0</v>
      </c>
      <c r="J253" s="50">
        <f>SUM(D253:I253)</f>
        <v>0</v>
      </c>
      <c r="L253" s="305"/>
      <c r="M253" s="33" t="s">
        <v>19</v>
      </c>
      <c r="N253" s="33"/>
      <c r="O253" s="22">
        <f t="shared" ref="O253:T253" si="509">O231+O236+O251</f>
        <v>0</v>
      </c>
      <c r="P253" s="22">
        <f t="shared" si="509"/>
        <v>0</v>
      </c>
      <c r="Q253" s="22">
        <f t="shared" si="509"/>
        <v>0</v>
      </c>
      <c r="R253" s="22">
        <f t="shared" si="509"/>
        <v>0</v>
      </c>
      <c r="S253" s="22">
        <f t="shared" si="509"/>
        <v>0</v>
      </c>
      <c r="T253" s="22">
        <f t="shared" si="509"/>
        <v>0</v>
      </c>
      <c r="U253" s="22">
        <f>SUM(O253:T253)</f>
        <v>0</v>
      </c>
      <c r="V253" s="22"/>
      <c r="W253" s="305"/>
      <c r="X253" s="33" t="s">
        <v>19</v>
      </c>
      <c r="Y253" s="33"/>
      <c r="Z253" s="22">
        <f t="shared" ref="Z253:AE253" si="510">Z231+Z236+Z251</f>
        <v>0</v>
      </c>
      <c r="AA253" s="22">
        <f t="shared" si="510"/>
        <v>0</v>
      </c>
      <c r="AB253" s="22">
        <f t="shared" si="510"/>
        <v>0</v>
      </c>
      <c r="AC253" s="22">
        <f t="shared" si="510"/>
        <v>0</v>
      </c>
      <c r="AD253" s="22">
        <f t="shared" si="510"/>
        <v>0</v>
      </c>
      <c r="AE253" s="22">
        <f t="shared" si="510"/>
        <v>0</v>
      </c>
      <c r="AF253" s="22">
        <f>SUM(Z253:AE253)</f>
        <v>0</v>
      </c>
    </row>
    <row r="254" spans="1:32" x14ac:dyDescent="0.2">
      <c r="A254" s="305"/>
      <c r="B254" s="33" t="s">
        <v>1</v>
      </c>
      <c r="C254" s="34">
        <v>0.44</v>
      </c>
      <c r="D254" s="22">
        <f>D253*$C$254</f>
        <v>0</v>
      </c>
      <c r="E254" s="22">
        <f t="shared" ref="E254:I254" si="511">E253*$C$254</f>
        <v>0</v>
      </c>
      <c r="F254" s="22">
        <f t="shared" si="511"/>
        <v>0</v>
      </c>
      <c r="G254" s="22">
        <f t="shared" si="511"/>
        <v>0</v>
      </c>
      <c r="H254" s="22">
        <f t="shared" si="511"/>
        <v>0</v>
      </c>
      <c r="I254" s="22">
        <f t="shared" si="511"/>
        <v>0</v>
      </c>
      <c r="J254" s="50">
        <f>SUM(D254:I254)</f>
        <v>0</v>
      </c>
      <c r="L254" s="305"/>
      <c r="M254" s="33" t="s">
        <v>1</v>
      </c>
      <c r="N254" s="34">
        <v>0</v>
      </c>
      <c r="O254" s="22">
        <f>O253*$N254</f>
        <v>0</v>
      </c>
      <c r="P254" s="22">
        <f t="shared" ref="P254" si="512">P253*$N254</f>
        <v>0</v>
      </c>
      <c r="Q254" s="22">
        <f t="shared" ref="Q254" si="513">Q253*$N254</f>
        <v>0</v>
      </c>
      <c r="R254" s="22">
        <f t="shared" ref="R254" si="514">R253*$N254</f>
        <v>0</v>
      </c>
      <c r="S254" s="22">
        <f t="shared" ref="S254" si="515">S253*$N254</f>
        <v>0</v>
      </c>
      <c r="T254" s="22">
        <f t="shared" ref="T254" si="516">T253*$N254</f>
        <v>0</v>
      </c>
      <c r="U254" s="22">
        <f>SUM(O254:T254)</f>
        <v>0</v>
      </c>
      <c r="V254" s="22"/>
      <c r="W254" s="305"/>
      <c r="X254" s="33" t="s">
        <v>1</v>
      </c>
      <c r="Y254" s="34">
        <v>0</v>
      </c>
      <c r="Z254" s="22">
        <f>Z253*$Y254</f>
        <v>0</v>
      </c>
      <c r="AA254" s="22">
        <f t="shared" ref="AA254" si="517">AA253*$Y254</f>
        <v>0</v>
      </c>
      <c r="AB254" s="22">
        <f t="shared" ref="AB254" si="518">AB253*$Y254</f>
        <v>0</v>
      </c>
      <c r="AC254" s="22">
        <f t="shared" ref="AC254" si="519">AC253*$Y254</f>
        <v>0</v>
      </c>
      <c r="AD254" s="22">
        <f t="shared" ref="AD254" si="520">AD253*$Y254</f>
        <v>0</v>
      </c>
      <c r="AE254" s="22">
        <f t="shared" ref="AE254" si="521">AE253*$Y254</f>
        <v>0</v>
      </c>
      <c r="AF254" s="22">
        <f>SUM(Z254:AE254)</f>
        <v>0</v>
      </c>
    </row>
    <row r="255" spans="1:32" ht="16" thickBot="1" x14ac:dyDescent="0.25">
      <c r="A255" s="306"/>
      <c r="B255" s="17" t="s">
        <v>20</v>
      </c>
      <c r="C255" s="17"/>
      <c r="D255" s="28">
        <f t="shared" ref="D255:I255" si="522">SUM(D253:D254)</f>
        <v>0</v>
      </c>
      <c r="E255" s="28">
        <f t="shared" si="522"/>
        <v>0</v>
      </c>
      <c r="F255" s="28">
        <f t="shared" si="522"/>
        <v>0</v>
      </c>
      <c r="G255" s="28">
        <f t="shared" si="522"/>
        <v>0</v>
      </c>
      <c r="H255" s="28">
        <f t="shared" si="522"/>
        <v>0</v>
      </c>
      <c r="I255" s="28">
        <f t="shared" si="522"/>
        <v>0</v>
      </c>
      <c r="J255" s="54">
        <f>SUM(D255:I255)</f>
        <v>0</v>
      </c>
      <c r="L255" s="306"/>
      <c r="M255" s="17" t="s">
        <v>20</v>
      </c>
      <c r="N255" s="17"/>
      <c r="O255" s="28">
        <f t="shared" ref="O255:T255" si="523">SUM(O253:O254)</f>
        <v>0</v>
      </c>
      <c r="P255" s="28">
        <f t="shared" si="523"/>
        <v>0</v>
      </c>
      <c r="Q255" s="28">
        <f t="shared" si="523"/>
        <v>0</v>
      </c>
      <c r="R255" s="28">
        <f t="shared" si="523"/>
        <v>0</v>
      </c>
      <c r="S255" s="28">
        <f t="shared" si="523"/>
        <v>0</v>
      </c>
      <c r="T255" s="28">
        <f t="shared" si="523"/>
        <v>0</v>
      </c>
      <c r="U255" s="28">
        <f>SUM(O255:T255)</f>
        <v>0</v>
      </c>
      <c r="V255" s="22"/>
      <c r="W255" s="306"/>
      <c r="X255" s="17" t="s">
        <v>20</v>
      </c>
      <c r="Y255" s="17"/>
      <c r="Z255" s="28">
        <f t="shared" ref="Z255:AE255" si="524">SUM(Z253:Z254)</f>
        <v>0</v>
      </c>
      <c r="AA255" s="28">
        <f t="shared" si="524"/>
        <v>0</v>
      </c>
      <c r="AB255" s="28">
        <f t="shared" si="524"/>
        <v>0</v>
      </c>
      <c r="AC255" s="28">
        <f t="shared" si="524"/>
        <v>0</v>
      </c>
      <c r="AD255" s="28">
        <f t="shared" si="524"/>
        <v>0</v>
      </c>
      <c r="AE255" s="28">
        <f t="shared" si="524"/>
        <v>0</v>
      </c>
      <c r="AF255" s="28">
        <f>SUM(Z255:AE255)</f>
        <v>0</v>
      </c>
    </row>
    <row r="256" spans="1:32" x14ac:dyDescent="0.2">
      <c r="A256" s="42"/>
      <c r="B256" s="33" t="s">
        <v>71</v>
      </c>
      <c r="C256" s="33"/>
      <c r="E256" s="22">
        <f>J255+U255+AF255</f>
        <v>0</v>
      </c>
      <c r="F256" s="22"/>
      <c r="G256" s="22"/>
      <c r="H256" s="22"/>
      <c r="I256" s="22"/>
      <c r="J256" s="22"/>
      <c r="L256" s="42"/>
      <c r="M256" s="33"/>
      <c r="N256" s="33"/>
      <c r="O256" s="22"/>
      <c r="P256" s="22"/>
      <c r="Q256" s="22"/>
      <c r="R256" s="22"/>
      <c r="S256" s="22"/>
      <c r="T256" s="22"/>
      <c r="U256" s="22"/>
      <c r="V256" s="22"/>
      <c r="W256" s="42"/>
      <c r="X256" s="33"/>
      <c r="Y256" s="33"/>
      <c r="Z256" s="22"/>
      <c r="AA256" s="22"/>
      <c r="AB256" s="22"/>
      <c r="AC256" s="22"/>
      <c r="AD256" s="22"/>
      <c r="AE256" s="22"/>
      <c r="AF256" s="22"/>
    </row>
    <row r="257" spans="1:32" x14ac:dyDescent="0.2">
      <c r="A257" s="42"/>
      <c r="B257" s="33" t="s">
        <v>72</v>
      </c>
      <c r="C257" s="33"/>
      <c r="D257" s="22"/>
      <c r="E257" s="22">
        <f>J253+U253+AF253</f>
        <v>0</v>
      </c>
      <c r="F257" s="22"/>
      <c r="G257" s="22"/>
      <c r="H257" s="22"/>
      <c r="I257" s="22"/>
      <c r="J257" s="22"/>
      <c r="L257" s="42"/>
      <c r="M257" s="33"/>
      <c r="N257" s="33"/>
      <c r="O257" s="22"/>
      <c r="P257" s="22"/>
      <c r="Q257" s="22"/>
      <c r="R257" s="22"/>
      <c r="S257" s="22"/>
      <c r="T257" s="22"/>
      <c r="U257" s="22"/>
      <c r="V257" s="22"/>
      <c r="W257" s="42"/>
      <c r="X257" s="33"/>
      <c r="Y257" s="33"/>
      <c r="Z257" s="22"/>
      <c r="AA257" s="22"/>
      <c r="AB257" s="22"/>
      <c r="AC257" s="22"/>
      <c r="AD257" s="22"/>
      <c r="AE257" s="22"/>
      <c r="AF257" s="22"/>
    </row>
    <row r="259" spans="1:32" ht="32" thickBot="1" x14ac:dyDescent="0.25">
      <c r="A259" s="6"/>
      <c r="B259" s="6" t="s">
        <v>89</v>
      </c>
      <c r="C259" s="216"/>
      <c r="D259" s="216" t="s">
        <v>24</v>
      </c>
      <c r="E259" s="216"/>
      <c r="F259" s="216"/>
      <c r="G259" s="216"/>
      <c r="H259" s="216"/>
      <c r="I259" s="216"/>
      <c r="J259" s="216"/>
      <c r="K259" s="7"/>
      <c r="L259" s="322"/>
      <c r="M259" s="322"/>
      <c r="N259" s="322"/>
      <c r="O259" s="322"/>
      <c r="P259" s="322"/>
      <c r="Q259" s="322"/>
      <c r="R259" s="322"/>
      <c r="S259" s="322"/>
      <c r="T259" s="322"/>
      <c r="U259" s="322"/>
      <c r="V259" s="6"/>
      <c r="W259" s="8"/>
      <c r="X259" s="9"/>
      <c r="Y259" s="9"/>
      <c r="Z259" s="9"/>
      <c r="AA259" s="9"/>
      <c r="AB259" s="9"/>
      <c r="AC259" s="9"/>
      <c r="AD259" s="9"/>
      <c r="AE259" s="9"/>
      <c r="AF259" s="9"/>
    </row>
    <row r="260" spans="1:32" ht="27" hidden="1" thickBot="1" x14ac:dyDescent="0.25">
      <c r="A260" s="323" t="s">
        <v>26</v>
      </c>
      <c r="B260" s="323"/>
      <c r="C260" s="323"/>
      <c r="D260" s="323"/>
      <c r="E260" s="323"/>
      <c r="F260" s="323"/>
      <c r="G260" s="323"/>
      <c r="H260" s="323"/>
      <c r="I260" s="323"/>
      <c r="J260" s="323"/>
      <c r="L260" s="324" t="s">
        <v>28</v>
      </c>
      <c r="M260" s="324"/>
      <c r="N260" s="324"/>
      <c r="O260" s="324"/>
      <c r="P260" s="324"/>
      <c r="Q260" s="324"/>
      <c r="R260" s="324"/>
      <c r="S260" s="324"/>
      <c r="T260" s="324"/>
      <c r="U260" s="324"/>
      <c r="V260" s="10"/>
      <c r="W260" s="324" t="s">
        <v>27</v>
      </c>
      <c r="X260" s="324"/>
      <c r="Y260" s="324"/>
      <c r="Z260" s="324"/>
      <c r="AA260" s="324"/>
      <c r="AB260" s="324"/>
      <c r="AC260" s="324"/>
      <c r="AD260" s="324"/>
      <c r="AE260" s="324"/>
      <c r="AF260" s="324"/>
    </row>
    <row r="261" spans="1:32" ht="27" thickBot="1" x14ac:dyDescent="0.25">
      <c r="A261" s="313" t="s">
        <v>25</v>
      </c>
      <c r="B261" s="313"/>
      <c r="C261" s="313"/>
      <c r="D261" s="313"/>
      <c r="E261" s="313"/>
      <c r="F261" s="313"/>
      <c r="G261" s="313"/>
      <c r="H261" s="313"/>
      <c r="I261" s="313"/>
      <c r="J261" s="325"/>
      <c r="K261" s="55"/>
      <c r="L261" s="315" t="s">
        <v>6</v>
      </c>
      <c r="M261" s="315"/>
      <c r="N261" s="315"/>
      <c r="O261" s="315"/>
      <c r="P261" s="315"/>
      <c r="Q261" s="315"/>
      <c r="R261" s="315"/>
      <c r="S261" s="315"/>
      <c r="T261" s="315"/>
      <c r="U261" s="315"/>
      <c r="V261" s="11"/>
      <c r="W261" s="316" t="s">
        <v>7</v>
      </c>
      <c r="X261" s="316"/>
      <c r="Y261" s="316"/>
      <c r="Z261" s="316"/>
      <c r="AA261" s="316"/>
      <c r="AB261" s="316"/>
      <c r="AC261" s="316"/>
      <c r="AD261" s="316"/>
      <c r="AE261" s="316"/>
      <c r="AF261" s="316"/>
    </row>
    <row r="262" spans="1:32" x14ac:dyDescent="0.2">
      <c r="A262" s="307" t="s">
        <v>8</v>
      </c>
      <c r="B262" s="318" t="s">
        <v>9</v>
      </c>
      <c r="C262" s="319"/>
      <c r="D262" s="12">
        <v>2019</v>
      </c>
      <c r="E262" s="12">
        <v>2020</v>
      </c>
      <c r="F262" s="12">
        <v>2021</v>
      </c>
      <c r="G262" s="12">
        <v>2022</v>
      </c>
      <c r="H262" s="12">
        <v>2023</v>
      </c>
      <c r="I262" s="12">
        <v>2024</v>
      </c>
      <c r="J262" s="46" t="s">
        <v>0</v>
      </c>
      <c r="L262" s="307" t="s">
        <v>8</v>
      </c>
      <c r="M262" s="318" t="s">
        <v>9</v>
      </c>
      <c r="N262" s="319"/>
      <c r="O262" s="12">
        <v>2019</v>
      </c>
      <c r="P262" s="12">
        <v>2020</v>
      </c>
      <c r="Q262" s="12">
        <v>2021</v>
      </c>
      <c r="R262" s="12">
        <v>2022</v>
      </c>
      <c r="S262" s="12">
        <v>2023</v>
      </c>
      <c r="T262" s="12">
        <v>2024</v>
      </c>
      <c r="U262" s="13" t="s">
        <v>0</v>
      </c>
      <c r="V262" s="14"/>
      <c r="W262" s="307" t="s">
        <v>8</v>
      </c>
      <c r="X262" s="318" t="s">
        <v>9</v>
      </c>
      <c r="Y262" s="319"/>
      <c r="Z262" s="12">
        <v>2019</v>
      </c>
      <c r="AA262" s="12">
        <v>2020</v>
      </c>
      <c r="AB262" s="12">
        <v>2021</v>
      </c>
      <c r="AC262" s="12">
        <v>2022</v>
      </c>
      <c r="AD262" s="12">
        <v>2023</v>
      </c>
      <c r="AE262" s="12">
        <v>2024</v>
      </c>
      <c r="AF262" s="13" t="s">
        <v>0</v>
      </c>
    </row>
    <row r="263" spans="1:32" ht="16" thickBot="1" x14ac:dyDescent="0.25">
      <c r="A263" s="308"/>
      <c r="B263" s="326" t="s">
        <v>29</v>
      </c>
      <c r="C263" s="327"/>
      <c r="D263" s="38"/>
      <c r="E263" s="38"/>
      <c r="F263" s="38"/>
      <c r="G263" s="38"/>
      <c r="H263" s="38"/>
      <c r="I263" s="38"/>
      <c r="J263" s="48">
        <f>SUM(J264:J272)</f>
        <v>0</v>
      </c>
      <c r="L263" s="308"/>
      <c r="M263" s="311" t="s">
        <v>29</v>
      </c>
      <c r="N263" s="312"/>
      <c r="O263" s="38"/>
      <c r="P263" s="38"/>
      <c r="Q263" s="38"/>
      <c r="R263" s="38"/>
      <c r="S263" s="38"/>
      <c r="T263" s="38"/>
      <c r="U263" s="39">
        <f>SUM(U264:U272)</f>
        <v>0</v>
      </c>
      <c r="V263" s="16"/>
      <c r="W263" s="308"/>
      <c r="X263" s="311" t="s">
        <v>29</v>
      </c>
      <c r="Y263" s="312"/>
      <c r="Z263" s="38"/>
      <c r="AA263" s="38"/>
      <c r="AB263" s="38"/>
      <c r="AC263" s="38"/>
      <c r="AD263" s="38"/>
      <c r="AE263" s="38"/>
      <c r="AF263" s="39">
        <f>SUM(AF264:AF272)</f>
        <v>0</v>
      </c>
    </row>
    <row r="264" spans="1:32" x14ac:dyDescent="0.2">
      <c r="A264" s="317"/>
      <c r="B264" s="219"/>
      <c r="C264" s="220"/>
      <c r="D264" s="15"/>
      <c r="E264" s="15"/>
      <c r="F264" s="15"/>
      <c r="G264" s="15"/>
      <c r="H264" s="15"/>
      <c r="I264" s="15"/>
      <c r="J264" s="228">
        <f t="shared" ref="J264:J272" si="525">SUM(D264:I264)</f>
        <v>0</v>
      </c>
      <c r="L264" s="308"/>
      <c r="M264" s="86">
        <f>$B264</f>
        <v>0</v>
      </c>
      <c r="N264" s="87"/>
      <c r="O264" s="15"/>
      <c r="P264" s="15"/>
      <c r="Q264" s="15"/>
      <c r="R264" s="15"/>
      <c r="S264" s="15"/>
      <c r="T264" s="15"/>
      <c r="U264" s="228">
        <f t="shared" ref="U264:U272" si="526">SUM(O264:T264)</f>
        <v>0</v>
      </c>
      <c r="V264" s="16"/>
      <c r="W264" s="308"/>
      <c r="X264" s="86">
        <f>$B264</f>
        <v>0</v>
      </c>
      <c r="Y264" s="87"/>
      <c r="Z264" s="15"/>
      <c r="AA264" s="15"/>
      <c r="AB264" s="15"/>
      <c r="AC264" s="15"/>
      <c r="AD264" s="15"/>
      <c r="AE264" s="15"/>
      <c r="AF264" s="228">
        <f t="shared" ref="AF264:AF272" si="527">SUM(Z264:AE264)</f>
        <v>0</v>
      </c>
    </row>
    <row r="265" spans="1:32" x14ac:dyDescent="0.2">
      <c r="A265" s="317"/>
      <c r="B265" s="221"/>
      <c r="C265" s="222"/>
      <c r="D265" s="15"/>
      <c r="E265" s="15"/>
      <c r="F265" s="15"/>
      <c r="G265" s="15"/>
      <c r="H265" s="15"/>
      <c r="I265" s="15"/>
      <c r="J265" s="229">
        <f t="shared" si="525"/>
        <v>0</v>
      </c>
      <c r="L265" s="308"/>
      <c r="M265" s="88">
        <f t="shared" ref="M265:M272" si="528">$B265</f>
        <v>0</v>
      </c>
      <c r="N265" s="89"/>
      <c r="O265" s="15"/>
      <c r="P265" s="15"/>
      <c r="Q265" s="15"/>
      <c r="R265" s="15"/>
      <c r="S265" s="15"/>
      <c r="T265" s="15"/>
      <c r="U265" s="229">
        <f t="shared" si="526"/>
        <v>0</v>
      </c>
      <c r="V265" s="16"/>
      <c r="W265" s="308"/>
      <c r="X265" s="88">
        <f t="shared" ref="X265:X272" si="529">$B265</f>
        <v>0</v>
      </c>
      <c r="Y265" s="89"/>
      <c r="Z265" s="15"/>
      <c r="AA265" s="15"/>
      <c r="AB265" s="15"/>
      <c r="AC265" s="15"/>
      <c r="AD265" s="15"/>
      <c r="AE265" s="15"/>
      <c r="AF265" s="229">
        <f t="shared" si="527"/>
        <v>0</v>
      </c>
    </row>
    <row r="266" spans="1:32" x14ac:dyDescent="0.2">
      <c r="A266" s="317"/>
      <c r="B266" s="221"/>
      <c r="C266" s="222"/>
      <c r="D266" s="15"/>
      <c r="E266" s="15"/>
      <c r="F266" s="15"/>
      <c r="G266" s="15"/>
      <c r="H266" s="15"/>
      <c r="I266" s="15"/>
      <c r="J266" s="229">
        <f t="shared" si="525"/>
        <v>0</v>
      </c>
      <c r="L266" s="308"/>
      <c r="M266" s="88">
        <f t="shared" si="528"/>
        <v>0</v>
      </c>
      <c r="N266" s="89"/>
      <c r="O266" s="15"/>
      <c r="P266" s="15"/>
      <c r="Q266" s="15"/>
      <c r="R266" s="15"/>
      <c r="S266" s="15"/>
      <c r="T266" s="15"/>
      <c r="U266" s="229">
        <f t="shared" si="526"/>
        <v>0</v>
      </c>
      <c r="V266" s="16"/>
      <c r="W266" s="308"/>
      <c r="X266" s="88">
        <f t="shared" si="529"/>
        <v>0</v>
      </c>
      <c r="Y266" s="89"/>
      <c r="Z266" s="15"/>
      <c r="AA266" s="15"/>
      <c r="AB266" s="15"/>
      <c r="AC266" s="15"/>
      <c r="AD266" s="15"/>
      <c r="AE266" s="15"/>
      <c r="AF266" s="229">
        <f t="shared" si="527"/>
        <v>0</v>
      </c>
    </row>
    <row r="267" spans="1:32" x14ac:dyDescent="0.2">
      <c r="A267" s="317"/>
      <c r="B267" s="221"/>
      <c r="C267" s="222"/>
      <c r="D267" s="15"/>
      <c r="E267" s="15"/>
      <c r="F267" s="15"/>
      <c r="G267" s="15"/>
      <c r="H267" s="15"/>
      <c r="I267" s="15"/>
      <c r="J267" s="229">
        <f t="shared" si="525"/>
        <v>0</v>
      </c>
      <c r="L267" s="308"/>
      <c r="M267" s="88">
        <f t="shared" si="528"/>
        <v>0</v>
      </c>
      <c r="N267" s="89"/>
      <c r="O267" s="15"/>
      <c r="P267" s="15"/>
      <c r="Q267" s="15"/>
      <c r="R267" s="15"/>
      <c r="S267" s="15"/>
      <c r="T267" s="15"/>
      <c r="U267" s="229">
        <f t="shared" si="526"/>
        <v>0</v>
      </c>
      <c r="V267" s="16"/>
      <c r="W267" s="308"/>
      <c r="X267" s="88">
        <f t="shared" si="529"/>
        <v>0</v>
      </c>
      <c r="Y267" s="89"/>
      <c r="Z267" s="15"/>
      <c r="AA267" s="15"/>
      <c r="AB267" s="15"/>
      <c r="AC267" s="15"/>
      <c r="AD267" s="15"/>
      <c r="AE267" s="15"/>
      <c r="AF267" s="229">
        <f t="shared" si="527"/>
        <v>0</v>
      </c>
    </row>
    <row r="268" spans="1:32" x14ac:dyDescent="0.2">
      <c r="A268" s="317"/>
      <c r="B268" s="221"/>
      <c r="C268" s="222"/>
      <c r="D268" s="15"/>
      <c r="E268" s="15"/>
      <c r="F268" s="15"/>
      <c r="G268" s="15"/>
      <c r="H268" s="15"/>
      <c r="I268" s="15"/>
      <c r="J268" s="229">
        <f t="shared" si="525"/>
        <v>0</v>
      </c>
      <c r="L268" s="308"/>
      <c r="M268" s="88">
        <f t="shared" si="528"/>
        <v>0</v>
      </c>
      <c r="N268" s="89"/>
      <c r="O268" s="15"/>
      <c r="P268" s="15"/>
      <c r="Q268" s="15"/>
      <c r="R268" s="15"/>
      <c r="S268" s="15"/>
      <c r="T268" s="15"/>
      <c r="U268" s="229">
        <f t="shared" si="526"/>
        <v>0</v>
      </c>
      <c r="V268" s="16"/>
      <c r="W268" s="308"/>
      <c r="X268" s="88">
        <f t="shared" si="529"/>
        <v>0</v>
      </c>
      <c r="Y268" s="89"/>
      <c r="Z268" s="15"/>
      <c r="AA268" s="15"/>
      <c r="AB268" s="15"/>
      <c r="AC268" s="15"/>
      <c r="AD268" s="15"/>
      <c r="AE268" s="15"/>
      <c r="AF268" s="229">
        <f t="shared" si="527"/>
        <v>0</v>
      </c>
    </row>
    <row r="269" spans="1:32" x14ac:dyDescent="0.2">
      <c r="A269" s="317"/>
      <c r="B269" s="221"/>
      <c r="C269" s="222"/>
      <c r="D269" s="15"/>
      <c r="E269" s="15"/>
      <c r="F269" s="15"/>
      <c r="G269" s="15"/>
      <c r="H269" s="15"/>
      <c r="I269" s="15"/>
      <c r="J269" s="229">
        <f t="shared" si="525"/>
        <v>0</v>
      </c>
      <c r="L269" s="308"/>
      <c r="M269" s="88">
        <f t="shared" si="528"/>
        <v>0</v>
      </c>
      <c r="N269" s="89"/>
      <c r="O269" s="15"/>
      <c r="P269" s="15"/>
      <c r="Q269" s="15"/>
      <c r="R269" s="15"/>
      <c r="S269" s="15"/>
      <c r="T269" s="15"/>
      <c r="U269" s="229">
        <f t="shared" si="526"/>
        <v>0</v>
      </c>
      <c r="V269" s="16"/>
      <c r="W269" s="308"/>
      <c r="X269" s="88">
        <f t="shared" si="529"/>
        <v>0</v>
      </c>
      <c r="Y269" s="89"/>
      <c r="Z269" s="15"/>
      <c r="AA269" s="15"/>
      <c r="AB269" s="15"/>
      <c r="AC269" s="15"/>
      <c r="AD269" s="15"/>
      <c r="AE269" s="15"/>
      <c r="AF269" s="229">
        <f t="shared" si="527"/>
        <v>0</v>
      </c>
    </row>
    <row r="270" spans="1:32" x14ac:dyDescent="0.2">
      <c r="A270" s="317"/>
      <c r="B270" s="280"/>
      <c r="C270" s="224"/>
      <c r="D270" s="15"/>
      <c r="E270" s="15"/>
      <c r="F270" s="15"/>
      <c r="G270" s="15"/>
      <c r="H270" s="15"/>
      <c r="I270" s="15"/>
      <c r="J270" s="229">
        <f t="shared" si="525"/>
        <v>0</v>
      </c>
      <c r="L270" s="308"/>
      <c r="M270" s="88">
        <f t="shared" si="528"/>
        <v>0</v>
      </c>
      <c r="N270" s="90"/>
      <c r="O270" s="15"/>
      <c r="P270" s="15"/>
      <c r="Q270" s="15"/>
      <c r="R270" s="15"/>
      <c r="S270" s="15"/>
      <c r="T270" s="15"/>
      <c r="U270" s="229">
        <f t="shared" si="526"/>
        <v>0</v>
      </c>
      <c r="V270" s="16"/>
      <c r="W270" s="308"/>
      <c r="X270" s="88">
        <f t="shared" si="529"/>
        <v>0</v>
      </c>
      <c r="Y270" s="90"/>
      <c r="Z270" s="15"/>
      <c r="AA270" s="15"/>
      <c r="AB270" s="15"/>
      <c r="AC270" s="15"/>
      <c r="AD270" s="15"/>
      <c r="AE270" s="15"/>
      <c r="AF270" s="229">
        <f t="shared" si="527"/>
        <v>0</v>
      </c>
    </row>
    <row r="271" spans="1:32" x14ac:dyDescent="0.2">
      <c r="A271" s="317"/>
      <c r="B271" s="223"/>
      <c r="C271" s="224"/>
      <c r="D271" s="15"/>
      <c r="E271" s="15"/>
      <c r="F271" s="15"/>
      <c r="G271" s="15"/>
      <c r="H271" s="15"/>
      <c r="I271" s="15"/>
      <c r="J271" s="229">
        <f t="shared" si="525"/>
        <v>0</v>
      </c>
      <c r="L271" s="308"/>
      <c r="M271" s="88">
        <f t="shared" si="528"/>
        <v>0</v>
      </c>
      <c r="N271" s="90"/>
      <c r="O271" s="15"/>
      <c r="P271" s="15"/>
      <c r="Q271" s="15"/>
      <c r="R271" s="15"/>
      <c r="S271" s="15"/>
      <c r="T271" s="15"/>
      <c r="U271" s="229">
        <f t="shared" si="526"/>
        <v>0</v>
      </c>
      <c r="V271" s="16"/>
      <c r="W271" s="308"/>
      <c r="X271" s="88">
        <f t="shared" si="529"/>
        <v>0</v>
      </c>
      <c r="Y271" s="90"/>
      <c r="Z271" s="15"/>
      <c r="AA271" s="15"/>
      <c r="AB271" s="15"/>
      <c r="AC271" s="15"/>
      <c r="AD271" s="15"/>
      <c r="AE271" s="15"/>
      <c r="AF271" s="229">
        <f t="shared" si="527"/>
        <v>0</v>
      </c>
    </row>
    <row r="272" spans="1:32" ht="16" thickBot="1" x14ac:dyDescent="0.25">
      <c r="A272" s="317"/>
      <c r="B272" s="231"/>
      <c r="C272" s="232"/>
      <c r="D272" s="15"/>
      <c r="E272" s="15"/>
      <c r="F272" s="15"/>
      <c r="G272" s="15"/>
      <c r="H272" s="15"/>
      <c r="I272" s="15"/>
      <c r="J272" s="230">
        <f t="shared" si="525"/>
        <v>0</v>
      </c>
      <c r="L272" s="308"/>
      <c r="M272" s="91">
        <f t="shared" si="528"/>
        <v>0</v>
      </c>
      <c r="N272" s="90"/>
      <c r="O272" s="15"/>
      <c r="P272" s="15"/>
      <c r="Q272" s="15"/>
      <c r="R272" s="15"/>
      <c r="S272" s="15"/>
      <c r="T272" s="15"/>
      <c r="U272" s="230">
        <f t="shared" si="526"/>
        <v>0</v>
      </c>
      <c r="V272" s="16"/>
      <c r="W272" s="308"/>
      <c r="X272" s="91">
        <f t="shared" si="529"/>
        <v>0</v>
      </c>
      <c r="Y272" s="90"/>
      <c r="Z272" s="15"/>
      <c r="AA272" s="15"/>
      <c r="AB272" s="15"/>
      <c r="AC272" s="15"/>
      <c r="AD272" s="15"/>
      <c r="AE272" s="15"/>
      <c r="AF272" s="230">
        <f t="shared" si="527"/>
        <v>0</v>
      </c>
    </row>
    <row r="273" spans="1:32" ht="16" thickBot="1" x14ac:dyDescent="0.25">
      <c r="A273" s="308"/>
      <c r="B273" s="320" t="s">
        <v>30</v>
      </c>
      <c r="C273" s="321"/>
      <c r="D273" s="38"/>
      <c r="E273" s="38"/>
      <c r="F273" s="38"/>
      <c r="G273" s="38"/>
      <c r="H273" s="38"/>
      <c r="I273" s="38"/>
      <c r="J273" s="47">
        <f>SUM(J274:J276)</f>
        <v>0</v>
      </c>
      <c r="L273" s="308"/>
      <c r="M273" s="311" t="s">
        <v>30</v>
      </c>
      <c r="N273" s="312"/>
      <c r="O273" s="38"/>
      <c r="P273" s="38"/>
      <c r="Q273" s="38"/>
      <c r="R273" s="38"/>
      <c r="S273" s="38"/>
      <c r="T273" s="38"/>
      <c r="U273" s="16">
        <f>SUM(U274:U276)</f>
        <v>0</v>
      </c>
      <c r="V273" s="16"/>
      <c r="W273" s="308"/>
      <c r="X273" s="311" t="s">
        <v>30</v>
      </c>
      <c r="Y273" s="312"/>
      <c r="Z273" s="38"/>
      <c r="AA273" s="38"/>
      <c r="AB273" s="38"/>
      <c r="AC273" s="38"/>
      <c r="AD273" s="38"/>
      <c r="AE273" s="38"/>
      <c r="AF273" s="16">
        <f>SUM(AF274:AF276)</f>
        <v>0</v>
      </c>
    </row>
    <row r="274" spans="1:32" x14ac:dyDescent="0.2">
      <c r="A274" s="317"/>
      <c r="B274" s="281"/>
      <c r="C274" s="233"/>
      <c r="D274" s="15"/>
      <c r="E274" s="15"/>
      <c r="F274" s="15"/>
      <c r="G274" s="15"/>
      <c r="H274" s="15"/>
      <c r="I274" s="15"/>
      <c r="J274" s="228">
        <f t="shared" ref="J274:J275" si="530">SUM(D274:I274)</f>
        <v>0</v>
      </c>
      <c r="L274" s="308"/>
      <c r="M274" s="92">
        <f>$B274</f>
        <v>0</v>
      </c>
      <c r="N274" s="90"/>
      <c r="O274" s="15"/>
      <c r="P274" s="15"/>
      <c r="Q274" s="15"/>
      <c r="R274" s="15"/>
      <c r="S274" s="15"/>
      <c r="T274" s="15"/>
      <c r="U274" s="228">
        <f t="shared" ref="U274:U275" si="531">SUM(O274:T274)</f>
        <v>0</v>
      </c>
      <c r="V274" s="16"/>
      <c r="W274" s="308"/>
      <c r="X274" s="92">
        <f>$B274</f>
        <v>0</v>
      </c>
      <c r="Y274" s="90"/>
      <c r="Z274" s="15"/>
      <c r="AA274" s="15"/>
      <c r="AB274" s="15"/>
      <c r="AC274" s="15"/>
      <c r="AD274" s="15"/>
      <c r="AE274" s="15"/>
      <c r="AF274" s="228">
        <f t="shared" ref="AF274:AF275" si="532">SUM(Z274:AE274)</f>
        <v>0</v>
      </c>
    </row>
    <row r="275" spans="1:32" x14ac:dyDescent="0.2">
      <c r="A275" s="317"/>
      <c r="B275" s="223"/>
      <c r="C275" s="224"/>
      <c r="D275" s="15"/>
      <c r="E275" s="15"/>
      <c r="F275" s="15"/>
      <c r="G275" s="15"/>
      <c r="H275" s="15"/>
      <c r="I275" s="15"/>
      <c r="J275" s="229">
        <f t="shared" si="530"/>
        <v>0</v>
      </c>
      <c r="L275" s="308"/>
      <c r="M275" s="92">
        <f t="shared" ref="M275:M276" si="533">$B275</f>
        <v>0</v>
      </c>
      <c r="N275" s="90"/>
      <c r="O275" s="15"/>
      <c r="P275" s="15"/>
      <c r="Q275" s="15"/>
      <c r="R275" s="15"/>
      <c r="S275" s="15"/>
      <c r="T275" s="15"/>
      <c r="U275" s="229">
        <f t="shared" si="531"/>
        <v>0</v>
      </c>
      <c r="V275" s="16"/>
      <c r="W275" s="308"/>
      <c r="X275" s="92">
        <f t="shared" ref="X275:X276" si="534">$B275</f>
        <v>0</v>
      </c>
      <c r="Y275" s="90"/>
      <c r="Z275" s="15"/>
      <c r="AA275" s="15"/>
      <c r="AB275" s="15"/>
      <c r="AC275" s="15"/>
      <c r="AD275" s="15"/>
      <c r="AE275" s="15"/>
      <c r="AF275" s="229">
        <f t="shared" si="532"/>
        <v>0</v>
      </c>
    </row>
    <row r="276" spans="1:32" ht="16" thickBot="1" x14ac:dyDescent="0.25">
      <c r="A276" s="317"/>
      <c r="B276" s="225"/>
      <c r="C276" s="226"/>
      <c r="D276" s="15"/>
      <c r="E276" s="15"/>
      <c r="F276" s="15"/>
      <c r="G276" s="15"/>
      <c r="H276" s="15"/>
      <c r="I276" s="15"/>
      <c r="J276" s="230">
        <f>SUM(D276:I276)</f>
        <v>0</v>
      </c>
      <c r="L276" s="308"/>
      <c r="M276" s="92">
        <f t="shared" si="533"/>
        <v>0</v>
      </c>
      <c r="N276" s="93"/>
      <c r="O276" s="15"/>
      <c r="P276" s="15"/>
      <c r="Q276" s="15"/>
      <c r="R276" s="15"/>
      <c r="S276" s="15"/>
      <c r="T276" s="15"/>
      <c r="U276" s="230">
        <f>SUM(O276:T276)</f>
        <v>0</v>
      </c>
      <c r="V276" s="16"/>
      <c r="W276" s="308"/>
      <c r="X276" s="92">
        <f t="shared" si="534"/>
        <v>0</v>
      </c>
      <c r="Y276" s="93"/>
      <c r="Z276" s="15"/>
      <c r="AA276" s="15"/>
      <c r="AB276" s="15"/>
      <c r="AC276" s="15"/>
      <c r="AD276" s="15"/>
      <c r="AE276" s="15"/>
      <c r="AF276" s="230">
        <f>SUM(Z276:AE276)</f>
        <v>0</v>
      </c>
    </row>
    <row r="277" spans="1:32" ht="16" thickBot="1" x14ac:dyDescent="0.25">
      <c r="A277" s="308"/>
      <c r="B277" s="218" t="str">
        <f>IF(B262="Personnel - man months","Total man months","Total man hours")</f>
        <v>Total man months</v>
      </c>
      <c r="C277" s="218"/>
      <c r="D277" s="18">
        <f t="shared" ref="D277:I277" si="535">SUM(D263:D276)</f>
        <v>0</v>
      </c>
      <c r="E277" s="18">
        <f t="shared" si="535"/>
        <v>0</v>
      </c>
      <c r="F277" s="18">
        <f t="shared" si="535"/>
        <v>0</v>
      </c>
      <c r="G277" s="18">
        <f t="shared" si="535"/>
        <v>0</v>
      </c>
      <c r="H277" s="18">
        <f t="shared" si="535"/>
        <v>0</v>
      </c>
      <c r="I277" s="18">
        <f t="shared" si="535"/>
        <v>0</v>
      </c>
      <c r="J277" s="227">
        <f>SUM(D277:I277)</f>
        <v>0</v>
      </c>
      <c r="L277" s="308"/>
      <c r="M277" s="17" t="str">
        <f>IF(M262="Personnel - man months","Total man months","Total man hours")</f>
        <v>Total man months</v>
      </c>
      <c r="N277" s="17"/>
      <c r="O277" s="18">
        <f t="shared" ref="O277:T277" si="536">SUM(O263:O276)</f>
        <v>0</v>
      </c>
      <c r="P277" s="18">
        <f t="shared" si="536"/>
        <v>0</v>
      </c>
      <c r="Q277" s="18">
        <f t="shared" si="536"/>
        <v>0</v>
      </c>
      <c r="R277" s="18">
        <f t="shared" si="536"/>
        <v>0</v>
      </c>
      <c r="S277" s="18">
        <f t="shared" si="536"/>
        <v>0</v>
      </c>
      <c r="T277" s="18">
        <f t="shared" si="536"/>
        <v>0</v>
      </c>
      <c r="U277" s="241">
        <f>SUM(O277:T277)</f>
        <v>0</v>
      </c>
      <c r="V277" s="16"/>
      <c r="W277" s="308"/>
      <c r="X277" s="17" t="str">
        <f>IF(X262="Personnel - man months","Total man months","Total man hours")</f>
        <v>Total man months</v>
      </c>
      <c r="Y277" s="17"/>
      <c r="Z277" s="18">
        <f t="shared" ref="Z277:AE277" si="537">SUM(Z263:Z276)</f>
        <v>0</v>
      </c>
      <c r="AA277" s="18">
        <f t="shared" si="537"/>
        <v>0</v>
      </c>
      <c r="AB277" s="18">
        <f t="shared" si="537"/>
        <v>0</v>
      </c>
      <c r="AC277" s="18">
        <f t="shared" si="537"/>
        <v>0</v>
      </c>
      <c r="AD277" s="18">
        <f t="shared" si="537"/>
        <v>0</v>
      </c>
      <c r="AE277" s="18">
        <f t="shared" si="537"/>
        <v>0</v>
      </c>
      <c r="AF277" s="241">
        <f>SUM(Z277:AE277)</f>
        <v>0</v>
      </c>
    </row>
    <row r="278" spans="1:32" x14ac:dyDescent="0.2">
      <c r="A278" s="308"/>
      <c r="B278" s="37" t="s">
        <v>10</v>
      </c>
      <c r="C278" s="213" t="str">
        <f>IF(B262="Personnel - man months","Monthly salary (2018)","Hourly rate (2017)")</f>
        <v>Monthly salary (2018)</v>
      </c>
      <c r="D278" s="13">
        <f t="shared" ref="D278:I278" si="538">+D262</f>
        <v>2019</v>
      </c>
      <c r="E278" s="13">
        <f t="shared" si="538"/>
        <v>2020</v>
      </c>
      <c r="F278" s="13">
        <f t="shared" si="538"/>
        <v>2021</v>
      </c>
      <c r="G278" s="13">
        <f t="shared" si="538"/>
        <v>2022</v>
      </c>
      <c r="H278" s="13">
        <f t="shared" si="538"/>
        <v>2023</v>
      </c>
      <c r="I278" s="13">
        <f t="shared" si="538"/>
        <v>2024</v>
      </c>
      <c r="J278" s="46" t="s">
        <v>11</v>
      </c>
      <c r="L278" s="308"/>
      <c r="M278" s="37" t="s">
        <v>10</v>
      </c>
      <c r="N278" s="213" t="str">
        <f>IF(M262="Personnel - man months","Monthly salary (2018)","Hourly rate (2017)")</f>
        <v>Monthly salary (2018)</v>
      </c>
      <c r="O278" s="13">
        <f t="shared" ref="O278:T278" si="539">+O262</f>
        <v>2019</v>
      </c>
      <c r="P278" s="13">
        <f t="shared" si="539"/>
        <v>2020</v>
      </c>
      <c r="Q278" s="13">
        <f t="shared" si="539"/>
        <v>2021</v>
      </c>
      <c r="R278" s="13">
        <f t="shared" si="539"/>
        <v>2022</v>
      </c>
      <c r="S278" s="13">
        <f t="shared" si="539"/>
        <v>2023</v>
      </c>
      <c r="T278" s="13">
        <f t="shared" si="539"/>
        <v>2024</v>
      </c>
      <c r="U278" s="13" t="s">
        <v>11</v>
      </c>
      <c r="V278" s="14"/>
      <c r="W278" s="308"/>
      <c r="X278" s="37" t="s">
        <v>10</v>
      </c>
      <c r="Y278" s="213" t="str">
        <f>IF(X262="Personnel - man months","Monthly salary (2018)","Hourly rate (2017)")</f>
        <v>Monthly salary (2018)</v>
      </c>
      <c r="Z278" s="13">
        <f t="shared" ref="Z278:AE278" si="540">+Z262</f>
        <v>2019</v>
      </c>
      <c r="AA278" s="13">
        <f t="shared" si="540"/>
        <v>2020</v>
      </c>
      <c r="AB278" s="13">
        <f t="shared" si="540"/>
        <v>2021</v>
      </c>
      <c r="AC278" s="13">
        <f t="shared" si="540"/>
        <v>2022</v>
      </c>
      <c r="AD278" s="13">
        <f t="shared" si="540"/>
        <v>2023</v>
      </c>
      <c r="AE278" s="13">
        <f t="shared" si="540"/>
        <v>2024</v>
      </c>
      <c r="AF278" s="13" t="s">
        <v>11</v>
      </c>
    </row>
    <row r="279" spans="1:32" ht="16" thickBot="1" x14ac:dyDescent="0.25">
      <c r="A279" s="308"/>
      <c r="B279" s="311" t="s">
        <v>29</v>
      </c>
      <c r="C279" s="312"/>
      <c r="D279" s="242">
        <f>SUM(D280:D288)</f>
        <v>0</v>
      </c>
      <c r="E279" s="242">
        <f t="shared" ref="E279" si="541">SUM(E280:E288)</f>
        <v>0</v>
      </c>
      <c r="F279" s="242">
        <f t="shared" ref="F279" si="542">SUM(F280:F288)</f>
        <v>0</v>
      </c>
      <c r="G279" s="242">
        <f t="shared" ref="G279" si="543">SUM(G280:G288)</f>
        <v>0</v>
      </c>
      <c r="H279" s="242">
        <f t="shared" ref="H279" si="544">SUM(H280:H288)</f>
        <v>0</v>
      </c>
      <c r="I279" s="242">
        <f t="shared" ref="I279" si="545">SUM(I280:I288)</f>
        <v>0</v>
      </c>
      <c r="J279" s="49">
        <f>SUM(J280:J288)</f>
        <v>0</v>
      </c>
      <c r="K279" s="23"/>
      <c r="L279" s="308"/>
      <c r="M279" s="311" t="s">
        <v>29</v>
      </c>
      <c r="N279" s="312"/>
      <c r="O279" s="41">
        <f>SUM(O280:O288)</f>
        <v>0</v>
      </c>
      <c r="P279" s="41">
        <f t="shared" ref="P279" si="546">SUM(P280:P288)</f>
        <v>0</v>
      </c>
      <c r="Q279" s="41">
        <f t="shared" ref="Q279" si="547">SUM(Q280:Q288)</f>
        <v>0</v>
      </c>
      <c r="R279" s="41">
        <f t="shared" ref="R279" si="548">SUM(R280:R288)</f>
        <v>0</v>
      </c>
      <c r="S279" s="41">
        <f t="shared" ref="S279" si="549">SUM(S280:S288)</f>
        <v>0</v>
      </c>
      <c r="T279" s="41">
        <f t="shared" ref="T279" si="550">SUM(T280:T288)</f>
        <v>0</v>
      </c>
      <c r="U279" s="236">
        <f>SUM(U280:U288)</f>
        <v>0</v>
      </c>
      <c r="V279" s="22"/>
      <c r="W279" s="308"/>
      <c r="X279" s="311" t="s">
        <v>29</v>
      </c>
      <c r="Y279" s="312"/>
      <c r="Z279" s="41">
        <f>SUM(Z280:Z288)</f>
        <v>0</v>
      </c>
      <c r="AA279" s="41">
        <f t="shared" ref="AA279" si="551">SUM(AA280:AA288)</f>
        <v>0</v>
      </c>
      <c r="AB279" s="41">
        <f t="shared" ref="AB279" si="552">SUM(AB280:AB288)</f>
        <v>0</v>
      </c>
      <c r="AC279" s="41">
        <f t="shared" ref="AC279" si="553">SUM(AC280:AC288)</f>
        <v>0</v>
      </c>
      <c r="AD279" s="41">
        <f t="shared" ref="AD279" si="554">SUM(AD280:AD288)</f>
        <v>0</v>
      </c>
      <c r="AE279" s="41">
        <f t="shared" ref="AE279" si="555">SUM(AE280:AE288)</f>
        <v>0</v>
      </c>
      <c r="AF279" s="236">
        <f>SUM(AF280:AF288)</f>
        <v>0</v>
      </c>
    </row>
    <row r="280" spans="1:32" x14ac:dyDescent="0.2">
      <c r="A280" s="308"/>
      <c r="B280" s="20">
        <f>B264</f>
        <v>0</v>
      </c>
      <c r="C280" s="21"/>
      <c r="D280" s="244">
        <f>($C280*(1+$C$293))*D264</f>
        <v>0</v>
      </c>
      <c r="E280" s="245">
        <f>($C280*(1+$C$293)^2)*E264</f>
        <v>0</v>
      </c>
      <c r="F280" s="245">
        <f>($C280*(1+$C$293)^3)*F264</f>
        <v>0</v>
      </c>
      <c r="G280" s="245">
        <f>($C280*(1+$C$293)^4)*G264</f>
        <v>0</v>
      </c>
      <c r="H280" s="245">
        <f>($C280*(1+$C$293)^5)*H264</f>
        <v>0</v>
      </c>
      <c r="I280" s="246">
        <f>($C280*(1+$C$293)^6)*I264</f>
        <v>0</v>
      </c>
      <c r="J280" s="50">
        <f t="shared" ref="J280:J288" si="556">SUM(D280:I280)</f>
        <v>0</v>
      </c>
      <c r="K280" s="23"/>
      <c r="L280" s="308"/>
      <c r="M280" s="20">
        <f>M264</f>
        <v>0</v>
      </c>
      <c r="N280" s="21"/>
      <c r="O280" s="22">
        <f>($N280*(1+$N$293))*O264</f>
        <v>0</v>
      </c>
      <c r="P280" s="22">
        <f>($N280*(1+$N$293)^2)*P264</f>
        <v>0</v>
      </c>
      <c r="Q280" s="22">
        <f>($N280*(1+$N$293)^3)*Q264</f>
        <v>0</v>
      </c>
      <c r="R280" s="22">
        <f>($N280*(1+$N$293)^4)*R264</f>
        <v>0</v>
      </c>
      <c r="S280" s="22">
        <f>($N280*(1+$N$293)^5)*S264</f>
        <v>0</v>
      </c>
      <c r="T280" s="22">
        <f>($N280*(1+$N$293)^6)*T264</f>
        <v>0</v>
      </c>
      <c r="U280" s="237">
        <f t="shared" ref="U280:U288" si="557">SUM(O280:T280)</f>
        <v>0</v>
      </c>
      <c r="V280" s="22"/>
      <c r="W280" s="308"/>
      <c r="X280" s="20">
        <f>X264</f>
        <v>0</v>
      </c>
      <c r="Y280" s="21"/>
      <c r="Z280" s="22">
        <f>($Y280*(1+$Y$293))*Z264</f>
        <v>0</v>
      </c>
      <c r="AA280" s="22">
        <f>($Y280*(1+$Y$293)^2)*AA264</f>
        <v>0</v>
      </c>
      <c r="AB280" s="22">
        <f>($Y280*(1+$Y$293)^3)*AB264</f>
        <v>0</v>
      </c>
      <c r="AC280" s="22">
        <f>($Y280*(1+$Y$293)^4)*AC264</f>
        <v>0</v>
      </c>
      <c r="AD280" s="22">
        <f>($Y280*(1+$Y$293)^5)*AD264</f>
        <v>0</v>
      </c>
      <c r="AE280" s="22">
        <f>($Y280*(1+$Y$293)^6)*AE264</f>
        <v>0</v>
      </c>
      <c r="AF280" s="237">
        <f t="shared" ref="AF280:AF288" si="558">SUM(Z280:AE280)</f>
        <v>0</v>
      </c>
    </row>
    <row r="281" spans="1:32" x14ac:dyDescent="0.2">
      <c r="A281" s="308"/>
      <c r="B281" s="20">
        <f>B265</f>
        <v>0</v>
      </c>
      <c r="C281" s="21"/>
      <c r="D281" s="247">
        <f t="shared" ref="D281:D288" si="559">($C281*(1+$C$293))*D265</f>
        <v>0</v>
      </c>
      <c r="E281" s="22">
        <f t="shared" ref="E281:E288" si="560">($C281*(1+$C$293)^2)*E265</f>
        <v>0</v>
      </c>
      <c r="F281" s="22">
        <f t="shared" ref="F281:F288" si="561">($C281*(1+$C$293)^3)*F265</f>
        <v>0</v>
      </c>
      <c r="G281" s="22">
        <f t="shared" ref="G281:G288" si="562">($C281*(1+$C$293)^4)*G265</f>
        <v>0</v>
      </c>
      <c r="H281" s="22">
        <f t="shared" ref="H281:H288" si="563">($C281*(1+$C$293)^5)*H265</f>
        <v>0</v>
      </c>
      <c r="I281" s="248">
        <f t="shared" ref="I281:I288" si="564">($C281*(1+$C$293)^6)*I265</f>
        <v>0</v>
      </c>
      <c r="J281" s="50">
        <f t="shared" si="556"/>
        <v>0</v>
      </c>
      <c r="K281" s="23"/>
      <c r="L281" s="308"/>
      <c r="M281" s="20">
        <f>M265</f>
        <v>0</v>
      </c>
      <c r="N281" s="21"/>
      <c r="O281" s="22">
        <f t="shared" ref="O281:O288" si="565">($N281*(1+$N$293))*O265</f>
        <v>0</v>
      </c>
      <c r="P281" s="22">
        <f t="shared" ref="P281:P288" si="566">($N281*(1+$N$293)^2)*P265</f>
        <v>0</v>
      </c>
      <c r="Q281" s="22">
        <f t="shared" ref="Q281:Q288" si="567">($N281*(1+$N$293)^3)*Q265</f>
        <v>0</v>
      </c>
      <c r="R281" s="22">
        <f t="shared" ref="R281:R288" si="568">($N281*(1+$N$293)^4)*R265</f>
        <v>0</v>
      </c>
      <c r="S281" s="22">
        <f t="shared" ref="S281:S288" si="569">($N281*(1+$N$293)^5)*S265</f>
        <v>0</v>
      </c>
      <c r="T281" s="22">
        <f t="shared" ref="T281:T288" si="570">($N281*(1+$N$293)^6)*T265</f>
        <v>0</v>
      </c>
      <c r="U281" s="238">
        <f t="shared" si="557"/>
        <v>0</v>
      </c>
      <c r="V281" s="22"/>
      <c r="W281" s="308"/>
      <c r="X281" s="20">
        <f>X265</f>
        <v>0</v>
      </c>
      <c r="Y281" s="21"/>
      <c r="Z281" s="22">
        <f t="shared" ref="Z281:Z288" si="571">($Y281*(1+$Y$293))*Z265</f>
        <v>0</v>
      </c>
      <c r="AA281" s="22">
        <f t="shared" ref="AA281:AA288" si="572">($Y281*(1+$Y$293)^2)*AA265</f>
        <v>0</v>
      </c>
      <c r="AB281" s="22">
        <f t="shared" ref="AB281:AB288" si="573">($Y281*(1+$Y$293)^3)*AB265</f>
        <v>0</v>
      </c>
      <c r="AC281" s="22">
        <f t="shared" ref="AC281:AC288" si="574">($Y281*(1+$Y$293)^4)*AC265</f>
        <v>0</v>
      </c>
      <c r="AD281" s="22">
        <f t="shared" ref="AD281:AD288" si="575">($Y281*(1+$Y$293)^5)*AD265</f>
        <v>0</v>
      </c>
      <c r="AE281" s="22">
        <f t="shared" ref="AE281:AE288" si="576">($Y281*(1+$Y$293)^6)*AE265</f>
        <v>0</v>
      </c>
      <c r="AF281" s="238">
        <f t="shared" si="558"/>
        <v>0</v>
      </c>
    </row>
    <row r="282" spans="1:32" x14ac:dyDescent="0.2">
      <c r="A282" s="308"/>
      <c r="B282" s="20">
        <f>B266</f>
        <v>0</v>
      </c>
      <c r="C282" s="21"/>
      <c r="D282" s="247">
        <f t="shared" si="559"/>
        <v>0</v>
      </c>
      <c r="E282" s="22">
        <f t="shared" si="560"/>
        <v>0</v>
      </c>
      <c r="F282" s="22">
        <f t="shared" si="561"/>
        <v>0</v>
      </c>
      <c r="G282" s="22">
        <f t="shared" si="562"/>
        <v>0</v>
      </c>
      <c r="H282" s="22">
        <f t="shared" si="563"/>
        <v>0</v>
      </c>
      <c r="I282" s="248">
        <f t="shared" si="564"/>
        <v>0</v>
      </c>
      <c r="J282" s="50">
        <f t="shared" si="556"/>
        <v>0</v>
      </c>
      <c r="K282" s="23"/>
      <c r="L282" s="308"/>
      <c r="M282" s="20">
        <f>M266</f>
        <v>0</v>
      </c>
      <c r="N282" s="21"/>
      <c r="O282" s="22">
        <f t="shared" si="565"/>
        <v>0</v>
      </c>
      <c r="P282" s="22">
        <f t="shared" si="566"/>
        <v>0</v>
      </c>
      <c r="Q282" s="22">
        <f t="shared" si="567"/>
        <v>0</v>
      </c>
      <c r="R282" s="22">
        <f t="shared" si="568"/>
        <v>0</v>
      </c>
      <c r="S282" s="22">
        <f t="shared" si="569"/>
        <v>0</v>
      </c>
      <c r="T282" s="22">
        <f t="shared" si="570"/>
        <v>0</v>
      </c>
      <c r="U282" s="238">
        <f t="shared" si="557"/>
        <v>0</v>
      </c>
      <c r="V282" s="22"/>
      <c r="W282" s="308"/>
      <c r="X282" s="20">
        <f>X266</f>
        <v>0</v>
      </c>
      <c r="Y282" s="21"/>
      <c r="Z282" s="22">
        <f t="shared" si="571"/>
        <v>0</v>
      </c>
      <c r="AA282" s="22">
        <f t="shared" si="572"/>
        <v>0</v>
      </c>
      <c r="AB282" s="22">
        <f t="shared" si="573"/>
        <v>0</v>
      </c>
      <c r="AC282" s="22">
        <f t="shared" si="574"/>
        <v>0</v>
      </c>
      <c r="AD282" s="22">
        <f t="shared" si="575"/>
        <v>0</v>
      </c>
      <c r="AE282" s="22">
        <f t="shared" si="576"/>
        <v>0</v>
      </c>
      <c r="AF282" s="238">
        <f t="shared" si="558"/>
        <v>0</v>
      </c>
    </row>
    <row r="283" spans="1:32" x14ac:dyDescent="0.2">
      <c r="A283" s="308"/>
      <c r="B283" s="20">
        <f t="shared" ref="B283:B288" si="577">B267</f>
        <v>0</v>
      </c>
      <c r="C283" s="21"/>
      <c r="D283" s="247">
        <f t="shared" si="559"/>
        <v>0</v>
      </c>
      <c r="E283" s="22">
        <f t="shared" si="560"/>
        <v>0</v>
      </c>
      <c r="F283" s="22">
        <f t="shared" si="561"/>
        <v>0</v>
      </c>
      <c r="G283" s="22">
        <f t="shared" si="562"/>
        <v>0</v>
      </c>
      <c r="H283" s="22">
        <f t="shared" si="563"/>
        <v>0</v>
      </c>
      <c r="I283" s="248">
        <f t="shared" si="564"/>
        <v>0</v>
      </c>
      <c r="J283" s="50">
        <f t="shared" si="556"/>
        <v>0</v>
      </c>
      <c r="K283" s="23"/>
      <c r="L283" s="308"/>
      <c r="M283" s="20">
        <f t="shared" ref="M283:M288" si="578">M267</f>
        <v>0</v>
      </c>
      <c r="N283" s="21"/>
      <c r="O283" s="22">
        <f t="shared" si="565"/>
        <v>0</v>
      </c>
      <c r="P283" s="22">
        <f t="shared" si="566"/>
        <v>0</v>
      </c>
      <c r="Q283" s="22">
        <f t="shared" si="567"/>
        <v>0</v>
      </c>
      <c r="R283" s="22">
        <f t="shared" si="568"/>
        <v>0</v>
      </c>
      <c r="S283" s="22">
        <f t="shared" si="569"/>
        <v>0</v>
      </c>
      <c r="T283" s="22">
        <f t="shared" si="570"/>
        <v>0</v>
      </c>
      <c r="U283" s="238">
        <f t="shared" si="557"/>
        <v>0</v>
      </c>
      <c r="V283" s="22"/>
      <c r="W283" s="308"/>
      <c r="X283" s="20">
        <f t="shared" ref="X283:X288" si="579">X267</f>
        <v>0</v>
      </c>
      <c r="Y283" s="21"/>
      <c r="Z283" s="22">
        <f t="shared" si="571"/>
        <v>0</v>
      </c>
      <c r="AA283" s="22">
        <f t="shared" si="572"/>
        <v>0</v>
      </c>
      <c r="AB283" s="22">
        <f t="shared" si="573"/>
        <v>0</v>
      </c>
      <c r="AC283" s="22">
        <f t="shared" si="574"/>
        <v>0</v>
      </c>
      <c r="AD283" s="22">
        <f t="shared" si="575"/>
        <v>0</v>
      </c>
      <c r="AE283" s="22">
        <f t="shared" si="576"/>
        <v>0</v>
      </c>
      <c r="AF283" s="238">
        <f t="shared" si="558"/>
        <v>0</v>
      </c>
    </row>
    <row r="284" spans="1:32" x14ac:dyDescent="0.2">
      <c r="A284" s="308"/>
      <c r="B284" s="20">
        <f t="shared" si="577"/>
        <v>0</v>
      </c>
      <c r="C284" s="21"/>
      <c r="D284" s="247">
        <f t="shared" si="559"/>
        <v>0</v>
      </c>
      <c r="E284" s="22">
        <f t="shared" si="560"/>
        <v>0</v>
      </c>
      <c r="F284" s="22">
        <f t="shared" si="561"/>
        <v>0</v>
      </c>
      <c r="G284" s="22">
        <f t="shared" si="562"/>
        <v>0</v>
      </c>
      <c r="H284" s="22">
        <f t="shared" si="563"/>
        <v>0</v>
      </c>
      <c r="I284" s="248">
        <f t="shared" si="564"/>
        <v>0</v>
      </c>
      <c r="J284" s="50">
        <f t="shared" si="556"/>
        <v>0</v>
      </c>
      <c r="K284" s="23"/>
      <c r="L284" s="308"/>
      <c r="M284" s="20">
        <f t="shared" si="578"/>
        <v>0</v>
      </c>
      <c r="N284" s="21"/>
      <c r="O284" s="22">
        <f t="shared" si="565"/>
        <v>0</v>
      </c>
      <c r="P284" s="22">
        <f t="shared" si="566"/>
        <v>0</v>
      </c>
      <c r="Q284" s="22">
        <f t="shared" si="567"/>
        <v>0</v>
      </c>
      <c r="R284" s="22">
        <f t="shared" si="568"/>
        <v>0</v>
      </c>
      <c r="S284" s="22">
        <f t="shared" si="569"/>
        <v>0</v>
      </c>
      <c r="T284" s="22">
        <f t="shared" si="570"/>
        <v>0</v>
      </c>
      <c r="U284" s="238">
        <f t="shared" si="557"/>
        <v>0</v>
      </c>
      <c r="V284" s="22"/>
      <c r="W284" s="308"/>
      <c r="X284" s="20">
        <f t="shared" si="579"/>
        <v>0</v>
      </c>
      <c r="Y284" s="21"/>
      <c r="Z284" s="22">
        <f t="shared" si="571"/>
        <v>0</v>
      </c>
      <c r="AA284" s="22">
        <f t="shared" si="572"/>
        <v>0</v>
      </c>
      <c r="AB284" s="22">
        <f t="shared" si="573"/>
        <v>0</v>
      </c>
      <c r="AC284" s="22">
        <f t="shared" si="574"/>
        <v>0</v>
      </c>
      <c r="AD284" s="22">
        <f t="shared" si="575"/>
        <v>0</v>
      </c>
      <c r="AE284" s="22">
        <f t="shared" si="576"/>
        <v>0</v>
      </c>
      <c r="AF284" s="238">
        <f t="shared" si="558"/>
        <v>0</v>
      </c>
    </row>
    <row r="285" spans="1:32" x14ac:dyDescent="0.2">
      <c r="A285" s="308"/>
      <c r="B285" s="20">
        <f t="shared" si="577"/>
        <v>0</v>
      </c>
      <c r="C285" s="21"/>
      <c r="D285" s="247">
        <f t="shared" si="559"/>
        <v>0</v>
      </c>
      <c r="E285" s="22">
        <f t="shared" si="560"/>
        <v>0</v>
      </c>
      <c r="F285" s="22">
        <f t="shared" si="561"/>
        <v>0</v>
      </c>
      <c r="G285" s="22">
        <f t="shared" si="562"/>
        <v>0</v>
      </c>
      <c r="H285" s="22">
        <f t="shared" si="563"/>
        <v>0</v>
      </c>
      <c r="I285" s="248">
        <f t="shared" si="564"/>
        <v>0</v>
      </c>
      <c r="J285" s="50">
        <f t="shared" si="556"/>
        <v>0</v>
      </c>
      <c r="K285" s="23"/>
      <c r="L285" s="308"/>
      <c r="M285" s="20">
        <f t="shared" si="578"/>
        <v>0</v>
      </c>
      <c r="N285" s="21"/>
      <c r="O285" s="22">
        <f t="shared" si="565"/>
        <v>0</v>
      </c>
      <c r="P285" s="22">
        <f t="shared" si="566"/>
        <v>0</v>
      </c>
      <c r="Q285" s="22">
        <f t="shared" si="567"/>
        <v>0</v>
      </c>
      <c r="R285" s="22">
        <f t="shared" si="568"/>
        <v>0</v>
      </c>
      <c r="S285" s="22">
        <f t="shared" si="569"/>
        <v>0</v>
      </c>
      <c r="T285" s="22">
        <f t="shared" si="570"/>
        <v>0</v>
      </c>
      <c r="U285" s="238">
        <f t="shared" si="557"/>
        <v>0</v>
      </c>
      <c r="V285" s="22"/>
      <c r="W285" s="308"/>
      <c r="X285" s="20">
        <f t="shared" si="579"/>
        <v>0</v>
      </c>
      <c r="Y285" s="21"/>
      <c r="Z285" s="22">
        <f t="shared" si="571"/>
        <v>0</v>
      </c>
      <c r="AA285" s="22">
        <f t="shared" si="572"/>
        <v>0</v>
      </c>
      <c r="AB285" s="22">
        <f t="shared" si="573"/>
        <v>0</v>
      </c>
      <c r="AC285" s="22">
        <f t="shared" si="574"/>
        <v>0</v>
      </c>
      <c r="AD285" s="22">
        <f t="shared" si="575"/>
        <v>0</v>
      </c>
      <c r="AE285" s="22">
        <f t="shared" si="576"/>
        <v>0</v>
      </c>
      <c r="AF285" s="238">
        <f t="shared" si="558"/>
        <v>0</v>
      </c>
    </row>
    <row r="286" spans="1:32" x14ac:dyDescent="0.2">
      <c r="A286" s="308"/>
      <c r="B286" s="20">
        <f t="shared" si="577"/>
        <v>0</v>
      </c>
      <c r="C286" s="21"/>
      <c r="D286" s="247">
        <f t="shared" si="559"/>
        <v>0</v>
      </c>
      <c r="E286" s="22">
        <f t="shared" si="560"/>
        <v>0</v>
      </c>
      <c r="F286" s="22">
        <f t="shared" si="561"/>
        <v>0</v>
      </c>
      <c r="G286" s="22">
        <f t="shared" si="562"/>
        <v>0</v>
      </c>
      <c r="H286" s="22">
        <f t="shared" si="563"/>
        <v>0</v>
      </c>
      <c r="I286" s="248">
        <f t="shared" si="564"/>
        <v>0</v>
      </c>
      <c r="J286" s="50">
        <f t="shared" si="556"/>
        <v>0</v>
      </c>
      <c r="K286" s="23"/>
      <c r="L286" s="308"/>
      <c r="M286" s="20">
        <f t="shared" si="578"/>
        <v>0</v>
      </c>
      <c r="N286" s="21"/>
      <c r="O286" s="22">
        <f t="shared" si="565"/>
        <v>0</v>
      </c>
      <c r="P286" s="22">
        <f t="shared" si="566"/>
        <v>0</v>
      </c>
      <c r="Q286" s="22">
        <f t="shared" si="567"/>
        <v>0</v>
      </c>
      <c r="R286" s="22">
        <f t="shared" si="568"/>
        <v>0</v>
      </c>
      <c r="S286" s="22">
        <f t="shared" si="569"/>
        <v>0</v>
      </c>
      <c r="T286" s="22">
        <f t="shared" si="570"/>
        <v>0</v>
      </c>
      <c r="U286" s="238">
        <f t="shared" si="557"/>
        <v>0</v>
      </c>
      <c r="V286" s="22"/>
      <c r="W286" s="308"/>
      <c r="X286" s="20">
        <f t="shared" si="579"/>
        <v>0</v>
      </c>
      <c r="Y286" s="21"/>
      <c r="Z286" s="22">
        <f t="shared" si="571"/>
        <v>0</v>
      </c>
      <c r="AA286" s="22">
        <f t="shared" si="572"/>
        <v>0</v>
      </c>
      <c r="AB286" s="22">
        <f t="shared" si="573"/>
        <v>0</v>
      </c>
      <c r="AC286" s="22">
        <f t="shared" si="574"/>
        <v>0</v>
      </c>
      <c r="AD286" s="22">
        <f t="shared" si="575"/>
        <v>0</v>
      </c>
      <c r="AE286" s="22">
        <f t="shared" si="576"/>
        <v>0</v>
      </c>
      <c r="AF286" s="238">
        <f t="shared" si="558"/>
        <v>0</v>
      </c>
    </row>
    <row r="287" spans="1:32" x14ac:dyDescent="0.2">
      <c r="A287" s="308"/>
      <c r="B287" s="20">
        <f t="shared" si="577"/>
        <v>0</v>
      </c>
      <c r="C287" s="21"/>
      <c r="D287" s="247">
        <f t="shared" si="559"/>
        <v>0</v>
      </c>
      <c r="E287" s="22">
        <f t="shared" si="560"/>
        <v>0</v>
      </c>
      <c r="F287" s="22">
        <f t="shared" si="561"/>
        <v>0</v>
      </c>
      <c r="G287" s="22">
        <f t="shared" si="562"/>
        <v>0</v>
      </c>
      <c r="H287" s="22">
        <f t="shared" si="563"/>
        <v>0</v>
      </c>
      <c r="I287" s="248">
        <f t="shared" si="564"/>
        <v>0</v>
      </c>
      <c r="J287" s="50">
        <f t="shared" si="556"/>
        <v>0</v>
      </c>
      <c r="K287" s="23"/>
      <c r="L287" s="308"/>
      <c r="M287" s="20">
        <f t="shared" si="578"/>
        <v>0</v>
      </c>
      <c r="N287" s="21"/>
      <c r="O287" s="22">
        <f t="shared" si="565"/>
        <v>0</v>
      </c>
      <c r="P287" s="22">
        <f t="shared" si="566"/>
        <v>0</v>
      </c>
      <c r="Q287" s="22">
        <f t="shared" si="567"/>
        <v>0</v>
      </c>
      <c r="R287" s="22">
        <f t="shared" si="568"/>
        <v>0</v>
      </c>
      <c r="S287" s="22">
        <f t="shared" si="569"/>
        <v>0</v>
      </c>
      <c r="T287" s="22">
        <f t="shared" si="570"/>
        <v>0</v>
      </c>
      <c r="U287" s="238">
        <f t="shared" si="557"/>
        <v>0</v>
      </c>
      <c r="V287" s="22"/>
      <c r="W287" s="308"/>
      <c r="X287" s="20">
        <f t="shared" si="579"/>
        <v>0</v>
      </c>
      <c r="Y287" s="21"/>
      <c r="Z287" s="22">
        <f t="shared" si="571"/>
        <v>0</v>
      </c>
      <c r="AA287" s="22">
        <f t="shared" si="572"/>
        <v>0</v>
      </c>
      <c r="AB287" s="22">
        <f t="shared" si="573"/>
        <v>0</v>
      </c>
      <c r="AC287" s="22">
        <f t="shared" si="574"/>
        <v>0</v>
      </c>
      <c r="AD287" s="22">
        <f t="shared" si="575"/>
        <v>0</v>
      </c>
      <c r="AE287" s="22">
        <f t="shared" si="576"/>
        <v>0</v>
      </c>
      <c r="AF287" s="238">
        <f t="shared" si="558"/>
        <v>0</v>
      </c>
    </row>
    <row r="288" spans="1:32" ht="16" thickBot="1" x14ac:dyDescent="0.25">
      <c r="A288" s="308"/>
      <c r="B288" s="20">
        <f t="shared" si="577"/>
        <v>0</v>
      </c>
      <c r="C288" s="21"/>
      <c r="D288" s="249">
        <f t="shared" si="559"/>
        <v>0</v>
      </c>
      <c r="E288" s="250">
        <f t="shared" si="560"/>
        <v>0</v>
      </c>
      <c r="F288" s="250">
        <f t="shared" si="561"/>
        <v>0</v>
      </c>
      <c r="G288" s="250">
        <f t="shared" si="562"/>
        <v>0</v>
      </c>
      <c r="H288" s="250">
        <f t="shared" si="563"/>
        <v>0</v>
      </c>
      <c r="I288" s="251">
        <f t="shared" si="564"/>
        <v>0</v>
      </c>
      <c r="J288" s="50">
        <f t="shared" si="556"/>
        <v>0</v>
      </c>
      <c r="K288" s="23"/>
      <c r="L288" s="308"/>
      <c r="M288" s="20">
        <f t="shared" si="578"/>
        <v>0</v>
      </c>
      <c r="N288" s="21"/>
      <c r="O288" s="22">
        <f t="shared" si="565"/>
        <v>0</v>
      </c>
      <c r="P288" s="22">
        <f t="shared" si="566"/>
        <v>0</v>
      </c>
      <c r="Q288" s="22">
        <f t="shared" si="567"/>
        <v>0</v>
      </c>
      <c r="R288" s="22">
        <f t="shared" si="568"/>
        <v>0</v>
      </c>
      <c r="S288" s="22">
        <f t="shared" si="569"/>
        <v>0</v>
      </c>
      <c r="T288" s="22">
        <f t="shared" si="570"/>
        <v>0</v>
      </c>
      <c r="U288" s="239">
        <f t="shared" si="557"/>
        <v>0</v>
      </c>
      <c r="V288" s="22"/>
      <c r="W288" s="308"/>
      <c r="X288" s="20">
        <f t="shared" si="579"/>
        <v>0</v>
      </c>
      <c r="Y288" s="21"/>
      <c r="Z288" s="22">
        <f t="shared" si="571"/>
        <v>0</v>
      </c>
      <c r="AA288" s="22">
        <f t="shared" si="572"/>
        <v>0</v>
      </c>
      <c r="AB288" s="22">
        <f t="shared" si="573"/>
        <v>0</v>
      </c>
      <c r="AC288" s="22">
        <f t="shared" si="574"/>
        <v>0</v>
      </c>
      <c r="AD288" s="22">
        <f t="shared" si="575"/>
        <v>0</v>
      </c>
      <c r="AE288" s="22">
        <f t="shared" si="576"/>
        <v>0</v>
      </c>
      <c r="AF288" s="239">
        <f t="shared" si="558"/>
        <v>0</v>
      </c>
    </row>
    <row r="289" spans="1:32" ht="16" thickBot="1" x14ac:dyDescent="0.25">
      <c r="A289" s="308"/>
      <c r="B289" s="311" t="s">
        <v>30</v>
      </c>
      <c r="C289" s="312"/>
      <c r="D289" s="252">
        <f t="shared" ref="D289" si="580">SUM(D290:D292)</f>
        <v>0</v>
      </c>
      <c r="E289" s="252">
        <f t="shared" ref="E289" si="581">SUM(E290:E292)</f>
        <v>0</v>
      </c>
      <c r="F289" s="252">
        <f t="shared" ref="F289" si="582">SUM(F290:F292)</f>
        <v>0</v>
      </c>
      <c r="G289" s="252">
        <f t="shared" ref="G289" si="583">SUM(G290:G292)</f>
        <v>0</v>
      </c>
      <c r="H289" s="252">
        <f t="shared" ref="H289" si="584">SUM(H290:H292)</f>
        <v>0</v>
      </c>
      <c r="I289" s="252">
        <f t="shared" ref="I289" si="585">SUM(I290:I292)</f>
        <v>0</v>
      </c>
      <c r="J289" s="51">
        <f>SUM(J290:J292)</f>
        <v>0</v>
      </c>
      <c r="K289" s="23"/>
      <c r="L289" s="308"/>
      <c r="M289" s="311" t="s">
        <v>30</v>
      </c>
      <c r="N289" s="312"/>
      <c r="O289" s="41">
        <f t="shared" ref="O289" si="586">SUM(O290:O292)</f>
        <v>0</v>
      </c>
      <c r="P289" s="41">
        <f t="shared" ref="P289" si="587">SUM(P290:P292)</f>
        <v>0</v>
      </c>
      <c r="Q289" s="41">
        <f t="shared" ref="Q289" si="588">SUM(Q290:Q292)</f>
        <v>0</v>
      </c>
      <c r="R289" s="41">
        <f t="shared" ref="R289" si="589">SUM(R290:R292)</f>
        <v>0</v>
      </c>
      <c r="S289" s="41">
        <f t="shared" ref="S289" si="590">SUM(S290:S292)</f>
        <v>0</v>
      </c>
      <c r="T289" s="41">
        <f t="shared" ref="T289" si="591">SUM(T290:T292)</f>
        <v>0</v>
      </c>
      <c r="U289" s="240">
        <f>SUM(U290:U292)</f>
        <v>0</v>
      </c>
      <c r="V289" s="22"/>
      <c r="W289" s="308"/>
      <c r="X289" s="311" t="s">
        <v>30</v>
      </c>
      <c r="Y289" s="312"/>
      <c r="Z289" s="41">
        <f t="shared" ref="Z289" si="592">SUM(Z290:Z292)</f>
        <v>0</v>
      </c>
      <c r="AA289" s="41">
        <f t="shared" ref="AA289" si="593">SUM(AA290:AA292)</f>
        <v>0</v>
      </c>
      <c r="AB289" s="41">
        <f t="shared" ref="AB289" si="594">SUM(AB290:AB292)</f>
        <v>0</v>
      </c>
      <c r="AC289" s="41">
        <f t="shared" ref="AC289" si="595">SUM(AC290:AC292)</f>
        <v>0</v>
      </c>
      <c r="AD289" s="41">
        <f t="shared" ref="AD289" si="596">SUM(AD290:AD292)</f>
        <v>0</v>
      </c>
      <c r="AE289" s="41">
        <f t="shared" ref="AE289" si="597">SUM(AE290:AE292)</f>
        <v>0</v>
      </c>
      <c r="AF289" s="240">
        <f>SUM(AF290:AF292)</f>
        <v>0</v>
      </c>
    </row>
    <row r="290" spans="1:32" x14ac:dyDescent="0.2">
      <c r="A290" s="308"/>
      <c r="B290" s="20">
        <f>B274</f>
        <v>0</v>
      </c>
      <c r="C290" s="21"/>
      <c r="D290" s="244">
        <f>($C290*(1+$C$293))*D274</f>
        <v>0</v>
      </c>
      <c r="E290" s="245">
        <f>($C290*(1+$C$293)^2)*E274</f>
        <v>0</v>
      </c>
      <c r="F290" s="245">
        <f>($C290*(1+$C$293)^3)*F274</f>
        <v>0</v>
      </c>
      <c r="G290" s="245">
        <f>($C290*(1+$C$293)^4)*G274</f>
        <v>0</v>
      </c>
      <c r="H290" s="245">
        <f>($C290*(1+$C$293)^5)*H274</f>
        <v>0</v>
      </c>
      <c r="I290" s="246">
        <f>($C290*(1+$C$293)^6)*I274</f>
        <v>0</v>
      </c>
      <c r="J290" s="50">
        <f t="shared" ref="J290:J292" si="598">SUM(D290:I290)</f>
        <v>0</v>
      </c>
      <c r="K290" s="23"/>
      <c r="L290" s="308"/>
      <c r="M290" s="20">
        <f>M274</f>
        <v>0</v>
      </c>
      <c r="N290" s="21"/>
      <c r="O290" s="22">
        <f>($N290*(1+$N$293))*O274</f>
        <v>0</v>
      </c>
      <c r="P290" s="22">
        <f>($N290*(1+$N$293)^2)*P274</f>
        <v>0</v>
      </c>
      <c r="Q290" s="22">
        <f>($N290*(1+$N$293)^3)*Q274</f>
        <v>0</v>
      </c>
      <c r="R290" s="22">
        <f>($N290*(1+$N$293)^4)*R274</f>
        <v>0</v>
      </c>
      <c r="S290" s="22">
        <f>($N290*(1+$N$293)^5)*S274</f>
        <v>0</v>
      </c>
      <c r="T290" s="22">
        <f>($N290*(1+$N$293)^6)*T274</f>
        <v>0</v>
      </c>
      <c r="U290" s="237">
        <f t="shared" ref="U290:U292" si="599">SUM(O290:T290)</f>
        <v>0</v>
      </c>
      <c r="V290" s="22"/>
      <c r="W290" s="308"/>
      <c r="X290" s="20">
        <f>X274</f>
        <v>0</v>
      </c>
      <c r="Y290" s="21"/>
      <c r="Z290" s="22">
        <f>($Y290*(1+$Y$293))*Z274</f>
        <v>0</v>
      </c>
      <c r="AA290" s="22">
        <f>($Y290*(1+$Y$293)^2)*AA274</f>
        <v>0</v>
      </c>
      <c r="AB290" s="22">
        <f>($Y290*(1+$Y$293)^3)*AB274</f>
        <v>0</v>
      </c>
      <c r="AC290" s="22">
        <f>($Y290*(1+$Y$293)^4)*AC274</f>
        <v>0</v>
      </c>
      <c r="AD290" s="22">
        <f>($Y290*(1+$Y$293)^5)*AD274</f>
        <v>0</v>
      </c>
      <c r="AE290" s="22">
        <f>($Y290*(1+$Y$293)^6)*AE274</f>
        <v>0</v>
      </c>
      <c r="AF290" s="237">
        <f t="shared" ref="AF290:AF292" si="600">SUM(Z290:AE290)</f>
        <v>0</v>
      </c>
    </row>
    <row r="291" spans="1:32" x14ac:dyDescent="0.2">
      <c r="A291" s="308"/>
      <c r="B291" s="20">
        <f t="shared" ref="B291:B292" si="601">B275</f>
        <v>0</v>
      </c>
      <c r="C291" s="21"/>
      <c r="D291" s="247">
        <f t="shared" ref="D291:D292" si="602">($C291*(1+$C$293))*D275</f>
        <v>0</v>
      </c>
      <c r="E291" s="22">
        <f t="shared" ref="E291:E292" si="603">($C291*(1+$C$293)^2)*E275</f>
        <v>0</v>
      </c>
      <c r="F291" s="22">
        <f t="shared" ref="F291:F292" si="604">($C291*(1+$C$293)^3)*F275</f>
        <v>0</v>
      </c>
      <c r="G291" s="22">
        <f t="shared" ref="G291:G292" si="605">($C291*(1+$C$293)^4)*G275</f>
        <v>0</v>
      </c>
      <c r="H291" s="22">
        <f t="shared" ref="H291:H292" si="606">($C291*(1+$C$293)^5)*H275</f>
        <v>0</v>
      </c>
      <c r="I291" s="248">
        <f t="shared" ref="I291:I292" si="607">($C291*(1+$C$293)^6)*I275</f>
        <v>0</v>
      </c>
      <c r="J291" s="50">
        <f t="shared" si="598"/>
        <v>0</v>
      </c>
      <c r="K291" s="23"/>
      <c r="L291" s="308"/>
      <c r="M291" s="20">
        <f t="shared" ref="M291:M292" si="608">M275</f>
        <v>0</v>
      </c>
      <c r="N291" s="21"/>
      <c r="O291" s="22">
        <f t="shared" ref="O291:O292" si="609">($N291*(1+$N$293))*O275</f>
        <v>0</v>
      </c>
      <c r="P291" s="22">
        <f t="shared" ref="P291:P292" si="610">($N291*(1+$N$293)^2)*P275</f>
        <v>0</v>
      </c>
      <c r="Q291" s="22">
        <f t="shared" ref="Q291:Q292" si="611">($N291*(1+$N$293)^3)*Q275</f>
        <v>0</v>
      </c>
      <c r="R291" s="22">
        <f t="shared" ref="R291:R292" si="612">($N291*(1+$N$293)^4)*R275</f>
        <v>0</v>
      </c>
      <c r="S291" s="22">
        <f t="shared" ref="S291:S292" si="613">($N291*(1+$N$293)^5)*S275</f>
        <v>0</v>
      </c>
      <c r="T291" s="22">
        <f t="shared" ref="T291:T292" si="614">($N291*(1+$N$293)^6)*T275</f>
        <v>0</v>
      </c>
      <c r="U291" s="238">
        <f t="shared" si="599"/>
        <v>0</v>
      </c>
      <c r="V291" s="22"/>
      <c r="W291" s="308"/>
      <c r="X291" s="20">
        <f t="shared" ref="X291:X292" si="615">X275</f>
        <v>0</v>
      </c>
      <c r="Y291" s="21"/>
      <c r="Z291" s="22">
        <f t="shared" ref="Z291:Z292" si="616">($Y291*(1+$Y$293))*Z275</f>
        <v>0</v>
      </c>
      <c r="AA291" s="22">
        <f t="shared" ref="AA291:AA292" si="617">($Y291*(1+$Y$293)^2)*AA275</f>
        <v>0</v>
      </c>
      <c r="AB291" s="22">
        <f t="shared" ref="AB291:AB292" si="618">($Y291*(1+$Y$293)^3)*AB275</f>
        <v>0</v>
      </c>
      <c r="AC291" s="22">
        <f t="shared" ref="AC291:AC292" si="619">($Y291*(1+$Y$293)^4)*AC275</f>
        <v>0</v>
      </c>
      <c r="AD291" s="22">
        <f t="shared" ref="AD291:AD292" si="620">($Y291*(1+$Y$293)^5)*AD275</f>
        <v>0</v>
      </c>
      <c r="AE291" s="22">
        <f t="shared" ref="AE291:AE292" si="621">($Y291*(1+$Y$293)^6)*AE275</f>
        <v>0</v>
      </c>
      <c r="AF291" s="238">
        <f t="shared" si="600"/>
        <v>0</v>
      </c>
    </row>
    <row r="292" spans="1:32" ht="16" thickBot="1" x14ac:dyDescent="0.25">
      <c r="A292" s="308"/>
      <c r="B292" s="20">
        <f t="shared" si="601"/>
        <v>0</v>
      </c>
      <c r="C292" s="21"/>
      <c r="D292" s="249">
        <f t="shared" si="602"/>
        <v>0</v>
      </c>
      <c r="E292" s="250">
        <f t="shared" si="603"/>
        <v>0</v>
      </c>
      <c r="F292" s="250">
        <f t="shared" si="604"/>
        <v>0</v>
      </c>
      <c r="G292" s="250">
        <f t="shared" si="605"/>
        <v>0</v>
      </c>
      <c r="H292" s="250">
        <f t="shared" si="606"/>
        <v>0</v>
      </c>
      <c r="I292" s="251">
        <f t="shared" si="607"/>
        <v>0</v>
      </c>
      <c r="J292" s="52">
        <f t="shared" si="598"/>
        <v>0</v>
      </c>
      <c r="K292" s="23"/>
      <c r="L292" s="308"/>
      <c r="M292" s="20">
        <f t="shared" si="608"/>
        <v>0</v>
      </c>
      <c r="N292" s="21"/>
      <c r="O292" s="22">
        <f t="shared" si="609"/>
        <v>0</v>
      </c>
      <c r="P292" s="22">
        <f t="shared" si="610"/>
        <v>0</v>
      </c>
      <c r="Q292" s="22">
        <f t="shared" si="611"/>
        <v>0</v>
      </c>
      <c r="R292" s="22">
        <f t="shared" si="612"/>
        <v>0</v>
      </c>
      <c r="S292" s="22">
        <f t="shared" si="613"/>
        <v>0</v>
      </c>
      <c r="T292" s="22">
        <f t="shared" si="614"/>
        <v>0</v>
      </c>
      <c r="U292" s="239">
        <f t="shared" si="599"/>
        <v>0</v>
      </c>
      <c r="V292" s="22"/>
      <c r="W292" s="308"/>
      <c r="X292" s="20">
        <f t="shared" si="615"/>
        <v>0</v>
      </c>
      <c r="Y292" s="21"/>
      <c r="Z292" s="22">
        <f t="shared" si="616"/>
        <v>0</v>
      </c>
      <c r="AA292" s="22">
        <f t="shared" si="617"/>
        <v>0</v>
      </c>
      <c r="AB292" s="22">
        <f t="shared" si="618"/>
        <v>0</v>
      </c>
      <c r="AC292" s="22">
        <f t="shared" si="619"/>
        <v>0</v>
      </c>
      <c r="AD292" s="22">
        <f t="shared" si="620"/>
        <v>0</v>
      </c>
      <c r="AE292" s="22">
        <f t="shared" si="621"/>
        <v>0</v>
      </c>
      <c r="AF292" s="239">
        <f t="shared" si="600"/>
        <v>0</v>
      </c>
    </row>
    <row r="293" spans="1:32" x14ac:dyDescent="0.2">
      <c r="A293" s="308"/>
      <c r="B293" s="24" t="s">
        <v>12</v>
      </c>
      <c r="C293" s="25">
        <v>0.02</v>
      </c>
      <c r="D293" s="253"/>
      <c r="E293" s="253"/>
      <c r="F293" s="253"/>
      <c r="G293" s="253"/>
      <c r="H293" s="253"/>
      <c r="I293" s="253"/>
      <c r="J293" s="53"/>
      <c r="K293" s="23"/>
      <c r="L293" s="308"/>
      <c r="M293" s="24" t="s">
        <v>12</v>
      </c>
      <c r="N293" s="25">
        <v>0.02</v>
      </c>
      <c r="O293" s="26"/>
      <c r="P293" s="26"/>
      <c r="Q293" s="26"/>
      <c r="R293" s="26"/>
      <c r="S293" s="26"/>
      <c r="T293" s="26"/>
      <c r="U293" s="27"/>
      <c r="V293" s="22"/>
      <c r="W293" s="308"/>
      <c r="X293" s="24" t="s">
        <v>12</v>
      </c>
      <c r="Y293" s="25">
        <v>0.02</v>
      </c>
      <c r="Z293" s="26"/>
      <c r="AA293" s="26"/>
      <c r="AB293" s="26"/>
      <c r="AC293" s="26"/>
      <c r="AD293" s="26"/>
      <c r="AE293" s="26"/>
      <c r="AF293" s="27"/>
    </row>
    <row r="294" spans="1:32" ht="16" thickBot="1" x14ac:dyDescent="0.25">
      <c r="A294" s="308"/>
      <c r="B294" s="17" t="s">
        <v>13</v>
      </c>
      <c r="C294" s="17"/>
      <c r="D294" s="28">
        <f>ROUND((D279+D289),0)</f>
        <v>0</v>
      </c>
      <c r="E294" s="28">
        <f t="shared" ref="E294:I294" si="622">ROUND((E279+E289),0)</f>
        <v>0</v>
      </c>
      <c r="F294" s="28">
        <f t="shared" si="622"/>
        <v>0</v>
      </c>
      <c r="G294" s="28">
        <f t="shared" si="622"/>
        <v>0</v>
      </c>
      <c r="H294" s="28">
        <f t="shared" si="622"/>
        <v>0</v>
      </c>
      <c r="I294" s="28">
        <f t="shared" si="622"/>
        <v>0</v>
      </c>
      <c r="J294" s="54">
        <f>SUM(D294:I294)</f>
        <v>0</v>
      </c>
      <c r="K294" s="23"/>
      <c r="L294" s="308"/>
      <c r="M294" s="17" t="s">
        <v>13</v>
      </c>
      <c r="N294" s="17"/>
      <c r="O294" s="28">
        <f>ROUND((O279+O289),0)</f>
        <v>0</v>
      </c>
      <c r="P294" s="28">
        <f t="shared" ref="P294:T294" si="623">ROUND((P279+P289),0)</f>
        <v>0</v>
      </c>
      <c r="Q294" s="28">
        <f t="shared" si="623"/>
        <v>0</v>
      </c>
      <c r="R294" s="28">
        <f t="shared" si="623"/>
        <v>0</v>
      </c>
      <c r="S294" s="28">
        <f t="shared" si="623"/>
        <v>0</v>
      </c>
      <c r="T294" s="28">
        <f t="shared" si="623"/>
        <v>0</v>
      </c>
      <c r="U294" s="28">
        <f>SUM(O294:T294)</f>
        <v>0</v>
      </c>
      <c r="V294" s="22"/>
      <c r="W294" s="308"/>
      <c r="X294" s="17" t="s">
        <v>13</v>
      </c>
      <c r="Y294" s="17"/>
      <c r="Z294" s="28">
        <f>ROUND((Z279+Z289),0)</f>
        <v>0</v>
      </c>
      <c r="AA294" s="28">
        <f t="shared" ref="AA294:AE294" si="624">ROUND((AA279+AA289),0)</f>
        <v>0</v>
      </c>
      <c r="AB294" s="28">
        <f t="shared" si="624"/>
        <v>0</v>
      </c>
      <c r="AC294" s="28">
        <f t="shared" si="624"/>
        <v>0</v>
      </c>
      <c r="AD294" s="28">
        <f t="shared" si="624"/>
        <v>0</v>
      </c>
      <c r="AE294" s="28">
        <f t="shared" si="624"/>
        <v>0</v>
      </c>
      <c r="AF294" s="28">
        <f>SUM(Z294:AE294)</f>
        <v>0</v>
      </c>
    </row>
    <row r="295" spans="1:32" ht="16" thickBot="1" x14ac:dyDescent="0.25">
      <c r="A295" s="307" t="s">
        <v>14</v>
      </c>
      <c r="B295" s="37" t="s">
        <v>15</v>
      </c>
      <c r="C295" s="37"/>
      <c r="D295" s="256">
        <f t="shared" ref="D295:I295" si="625">+D278</f>
        <v>2019</v>
      </c>
      <c r="E295" s="256">
        <f t="shared" si="625"/>
        <v>2020</v>
      </c>
      <c r="F295" s="256">
        <f t="shared" si="625"/>
        <v>2021</v>
      </c>
      <c r="G295" s="256">
        <f t="shared" si="625"/>
        <v>2022</v>
      </c>
      <c r="H295" s="256">
        <f t="shared" si="625"/>
        <v>2023</v>
      </c>
      <c r="I295" s="256">
        <f t="shared" si="625"/>
        <v>2024</v>
      </c>
      <c r="J295" s="46" t="s">
        <v>11</v>
      </c>
      <c r="L295" s="307" t="s">
        <v>14</v>
      </c>
      <c r="M295" s="37" t="s">
        <v>15</v>
      </c>
      <c r="N295" s="37"/>
      <c r="O295" s="13">
        <f t="shared" ref="O295:T295" si="626">+O278</f>
        <v>2019</v>
      </c>
      <c r="P295" s="13">
        <f t="shared" si="626"/>
        <v>2020</v>
      </c>
      <c r="Q295" s="13">
        <f t="shared" si="626"/>
        <v>2021</v>
      </c>
      <c r="R295" s="13">
        <f t="shared" si="626"/>
        <v>2022</v>
      </c>
      <c r="S295" s="13">
        <f t="shared" si="626"/>
        <v>2023</v>
      </c>
      <c r="T295" s="13">
        <f t="shared" si="626"/>
        <v>2024</v>
      </c>
      <c r="U295" s="256" t="s">
        <v>11</v>
      </c>
      <c r="V295" s="14"/>
      <c r="W295" s="307" t="s">
        <v>14</v>
      </c>
      <c r="X295" s="37" t="s">
        <v>15</v>
      </c>
      <c r="Y295" s="37"/>
      <c r="Z295" s="13">
        <f t="shared" ref="Z295:AE295" si="627">+Z278</f>
        <v>2019</v>
      </c>
      <c r="AA295" s="13">
        <f t="shared" si="627"/>
        <v>2020</v>
      </c>
      <c r="AB295" s="13">
        <f t="shared" si="627"/>
        <v>2021</v>
      </c>
      <c r="AC295" s="13">
        <f t="shared" si="627"/>
        <v>2022</v>
      </c>
      <c r="AD295" s="13">
        <f t="shared" si="627"/>
        <v>2023</v>
      </c>
      <c r="AE295" s="13">
        <f t="shared" si="627"/>
        <v>2024</v>
      </c>
      <c r="AF295" s="256" t="s">
        <v>11</v>
      </c>
    </row>
    <row r="296" spans="1:32" x14ac:dyDescent="0.2">
      <c r="A296" s="308"/>
      <c r="B296" s="79"/>
      <c r="C296" s="254"/>
      <c r="D296" s="258"/>
      <c r="E296" s="259"/>
      <c r="F296" s="259"/>
      <c r="G296" s="259"/>
      <c r="H296" s="259"/>
      <c r="I296" s="260"/>
      <c r="J296" s="50">
        <f>SUM(D296:I296)</f>
        <v>0</v>
      </c>
      <c r="L296" s="308"/>
      <c r="M296" s="79"/>
      <c r="N296" s="80"/>
      <c r="O296" s="29"/>
      <c r="P296" s="29"/>
      <c r="Q296" s="29"/>
      <c r="R296" s="29"/>
      <c r="S296" s="29"/>
      <c r="T296" s="29"/>
      <c r="U296" s="237">
        <f>SUM(O296:T296)</f>
        <v>0</v>
      </c>
      <c r="V296" s="22"/>
      <c r="W296" s="308"/>
      <c r="X296" s="79"/>
      <c r="Y296" s="80"/>
      <c r="Z296" s="29"/>
      <c r="AA296" s="29"/>
      <c r="AB296" s="29"/>
      <c r="AC296" s="29"/>
      <c r="AD296" s="29"/>
      <c r="AE296" s="29"/>
      <c r="AF296" s="237">
        <f>SUM(Z296:AE296)</f>
        <v>0</v>
      </c>
    </row>
    <row r="297" spans="1:32" x14ac:dyDescent="0.2">
      <c r="A297" s="308"/>
      <c r="B297" s="77"/>
      <c r="C297" s="15"/>
      <c r="D297" s="261"/>
      <c r="E297" s="29"/>
      <c r="F297" s="29"/>
      <c r="G297" s="29"/>
      <c r="H297" s="29"/>
      <c r="I297" s="262"/>
      <c r="J297" s="50">
        <f>SUM(D297:I297)</f>
        <v>0</v>
      </c>
      <c r="L297" s="308"/>
      <c r="M297" s="77"/>
      <c r="N297" s="78"/>
      <c r="O297" s="29"/>
      <c r="P297" s="29"/>
      <c r="Q297" s="29"/>
      <c r="R297" s="29"/>
      <c r="S297" s="29"/>
      <c r="T297" s="29"/>
      <c r="U297" s="238">
        <f>SUM(O297:T297)</f>
        <v>0</v>
      </c>
      <c r="V297" s="22"/>
      <c r="W297" s="308"/>
      <c r="X297" s="77"/>
      <c r="Y297" s="78"/>
      <c r="Z297" s="29"/>
      <c r="AA297" s="29"/>
      <c r="AB297" s="29"/>
      <c r="AC297" s="29"/>
      <c r="AD297" s="29"/>
      <c r="AE297" s="29"/>
      <c r="AF297" s="238">
        <f>SUM(Z297:AE297)</f>
        <v>0</v>
      </c>
    </row>
    <row r="298" spans="1:32" ht="16" thickBot="1" x14ac:dyDescent="0.25">
      <c r="A298" s="308"/>
      <c r="B298" s="81"/>
      <c r="C298" s="255"/>
      <c r="D298" s="263"/>
      <c r="E298" s="264"/>
      <c r="F298" s="264"/>
      <c r="G298" s="264"/>
      <c r="H298" s="264"/>
      <c r="I298" s="265"/>
      <c r="J298" s="50">
        <f>SUM(D298:I298)</f>
        <v>0</v>
      </c>
      <c r="L298" s="308"/>
      <c r="M298" s="81"/>
      <c r="N298" s="82"/>
      <c r="O298" s="29"/>
      <c r="P298" s="29"/>
      <c r="Q298" s="29"/>
      <c r="R298" s="29"/>
      <c r="S298" s="29"/>
      <c r="T298" s="29"/>
      <c r="U298" s="239">
        <f>SUM(O298:T298)</f>
        <v>0</v>
      </c>
      <c r="V298" s="22"/>
      <c r="W298" s="308"/>
      <c r="X298" s="81"/>
      <c r="Y298" s="82"/>
      <c r="Z298" s="29"/>
      <c r="AA298" s="29"/>
      <c r="AB298" s="29"/>
      <c r="AC298" s="29"/>
      <c r="AD298" s="29"/>
      <c r="AE298" s="29"/>
      <c r="AF298" s="239">
        <f>SUM(Z298:AE298)</f>
        <v>0</v>
      </c>
    </row>
    <row r="299" spans="1:32" ht="16" thickBot="1" x14ac:dyDescent="0.25">
      <c r="A299" s="308"/>
      <c r="B299" s="17" t="s">
        <v>16</v>
      </c>
      <c r="C299" s="17"/>
      <c r="D299" s="257">
        <f t="shared" ref="D299:I299" si="628">ROUND(SUM(D296:D298),0)</f>
        <v>0</v>
      </c>
      <c r="E299" s="257">
        <f t="shared" si="628"/>
        <v>0</v>
      </c>
      <c r="F299" s="257">
        <f t="shared" si="628"/>
        <v>0</v>
      </c>
      <c r="G299" s="257">
        <f t="shared" si="628"/>
        <v>0</v>
      </c>
      <c r="H299" s="257">
        <f t="shared" si="628"/>
        <v>0</v>
      </c>
      <c r="I299" s="257">
        <f t="shared" si="628"/>
        <v>0</v>
      </c>
      <c r="J299" s="54">
        <f>SUM(D299:I299)</f>
        <v>0</v>
      </c>
      <c r="L299" s="308"/>
      <c r="M299" s="17" t="s">
        <v>16</v>
      </c>
      <c r="N299" s="17"/>
      <c r="O299" s="28">
        <f t="shared" ref="O299:T299" si="629">ROUND(SUM(O296:O298),0)</f>
        <v>0</v>
      </c>
      <c r="P299" s="28">
        <f t="shared" si="629"/>
        <v>0</v>
      </c>
      <c r="Q299" s="28">
        <f t="shared" si="629"/>
        <v>0</v>
      </c>
      <c r="R299" s="28">
        <f t="shared" si="629"/>
        <v>0</v>
      </c>
      <c r="S299" s="28">
        <f t="shared" si="629"/>
        <v>0</v>
      </c>
      <c r="T299" s="28">
        <f t="shared" si="629"/>
        <v>0</v>
      </c>
      <c r="U299" s="257">
        <f>SUM(O299:T299)</f>
        <v>0</v>
      </c>
      <c r="V299" s="22"/>
      <c r="W299" s="308"/>
      <c r="X299" s="17" t="s">
        <v>16</v>
      </c>
      <c r="Y299" s="17"/>
      <c r="Z299" s="28">
        <f t="shared" ref="Z299:AE299" si="630">ROUND(SUM(Z296:Z298),0)</f>
        <v>0</v>
      </c>
      <c r="AA299" s="28">
        <f t="shared" si="630"/>
        <v>0</v>
      </c>
      <c r="AB299" s="28">
        <f t="shared" si="630"/>
        <v>0</v>
      </c>
      <c r="AC299" s="28">
        <f t="shared" si="630"/>
        <v>0</v>
      </c>
      <c r="AD299" s="28">
        <f t="shared" si="630"/>
        <v>0</v>
      </c>
      <c r="AE299" s="28">
        <f t="shared" si="630"/>
        <v>0</v>
      </c>
      <c r="AF299" s="257">
        <f>SUM(Z299:AE299)</f>
        <v>0</v>
      </c>
    </row>
    <row r="300" spans="1:32" ht="16" thickBot="1" x14ac:dyDescent="0.25">
      <c r="A300" s="307" t="s">
        <v>17</v>
      </c>
      <c r="B300" s="37" t="s">
        <v>31</v>
      </c>
      <c r="C300" s="37"/>
      <c r="D300" s="256">
        <f t="shared" ref="D300:I300" si="631">D262</f>
        <v>2019</v>
      </c>
      <c r="E300" s="256">
        <f t="shared" si="631"/>
        <v>2020</v>
      </c>
      <c r="F300" s="256">
        <f t="shared" si="631"/>
        <v>2021</v>
      </c>
      <c r="G300" s="256">
        <f t="shared" si="631"/>
        <v>2022</v>
      </c>
      <c r="H300" s="256">
        <f t="shared" si="631"/>
        <v>2023</v>
      </c>
      <c r="I300" s="256">
        <f t="shared" si="631"/>
        <v>2024</v>
      </c>
      <c r="J300" s="46" t="s">
        <v>11</v>
      </c>
      <c r="L300" s="307" t="s">
        <v>17</v>
      </c>
      <c r="M300" s="37" t="s">
        <v>31</v>
      </c>
      <c r="N300" s="37"/>
      <c r="O300" s="13">
        <f t="shared" ref="O300:T300" si="632">O262</f>
        <v>2019</v>
      </c>
      <c r="P300" s="13">
        <f t="shared" si="632"/>
        <v>2020</v>
      </c>
      <c r="Q300" s="13">
        <f t="shared" si="632"/>
        <v>2021</v>
      </c>
      <c r="R300" s="13">
        <f t="shared" si="632"/>
        <v>2022</v>
      </c>
      <c r="S300" s="13">
        <f t="shared" si="632"/>
        <v>2023</v>
      </c>
      <c r="T300" s="13">
        <f t="shared" si="632"/>
        <v>2024</v>
      </c>
      <c r="U300" s="256" t="s">
        <v>11</v>
      </c>
      <c r="V300" s="14"/>
      <c r="W300" s="307" t="s">
        <v>17</v>
      </c>
      <c r="X300" s="37" t="s">
        <v>31</v>
      </c>
      <c r="Y300" s="37"/>
      <c r="Z300" s="13">
        <f t="shared" ref="Z300:AE300" si="633">Z262</f>
        <v>2019</v>
      </c>
      <c r="AA300" s="13">
        <f t="shared" si="633"/>
        <v>2020</v>
      </c>
      <c r="AB300" s="13">
        <f t="shared" si="633"/>
        <v>2021</v>
      </c>
      <c r="AC300" s="13">
        <f t="shared" si="633"/>
        <v>2022</v>
      </c>
      <c r="AD300" s="13">
        <f t="shared" si="633"/>
        <v>2023</v>
      </c>
      <c r="AE300" s="13">
        <f t="shared" si="633"/>
        <v>2024</v>
      </c>
      <c r="AF300" s="256" t="s">
        <v>11</v>
      </c>
    </row>
    <row r="301" spans="1:32" x14ac:dyDescent="0.2">
      <c r="A301" s="308"/>
      <c r="B301" s="79"/>
      <c r="C301" s="254"/>
      <c r="D301" s="258"/>
      <c r="E301" s="259"/>
      <c r="F301" s="259"/>
      <c r="G301" s="259"/>
      <c r="H301" s="259"/>
      <c r="I301" s="260"/>
      <c r="J301" s="50">
        <f t="shared" ref="J301:J314" si="634">SUM(D301:I301)</f>
        <v>0</v>
      </c>
      <c r="L301" s="308"/>
      <c r="M301" s="79"/>
      <c r="N301" s="80"/>
      <c r="O301" s="29"/>
      <c r="P301" s="29"/>
      <c r="Q301" s="29"/>
      <c r="R301" s="29"/>
      <c r="S301" s="29"/>
      <c r="T301" s="29"/>
      <c r="U301" s="237">
        <f t="shared" ref="U301:U314" si="635">SUM(O301:T301)</f>
        <v>0</v>
      </c>
      <c r="V301" s="16"/>
      <c r="W301" s="308"/>
      <c r="X301" s="79"/>
      <c r="Y301" s="80"/>
      <c r="Z301" s="29"/>
      <c r="AA301" s="29"/>
      <c r="AB301" s="29"/>
      <c r="AC301" s="29"/>
      <c r="AD301" s="29"/>
      <c r="AE301" s="29"/>
      <c r="AF301" s="237">
        <f t="shared" ref="AF301:AF314" si="636">SUM(Z301:AE301)</f>
        <v>0</v>
      </c>
    </row>
    <row r="302" spans="1:32" x14ac:dyDescent="0.2">
      <c r="A302" s="308"/>
      <c r="B302" s="85"/>
      <c r="C302" s="266"/>
      <c r="D302" s="261"/>
      <c r="E302" s="29"/>
      <c r="F302" s="29"/>
      <c r="G302" s="29"/>
      <c r="H302" s="29"/>
      <c r="I302" s="262"/>
      <c r="J302" s="50">
        <f t="shared" si="634"/>
        <v>0</v>
      </c>
      <c r="L302" s="308"/>
      <c r="M302" s="85"/>
      <c r="N302" s="57"/>
      <c r="O302" s="29"/>
      <c r="P302" s="29"/>
      <c r="Q302" s="29"/>
      <c r="R302" s="29"/>
      <c r="S302" s="29"/>
      <c r="T302" s="29"/>
      <c r="U302" s="238">
        <f t="shared" si="635"/>
        <v>0</v>
      </c>
      <c r="V302" s="16"/>
      <c r="W302" s="308"/>
      <c r="X302" s="85"/>
      <c r="Y302" s="57"/>
      <c r="Z302" s="29"/>
      <c r="AA302" s="29"/>
      <c r="AB302" s="29"/>
      <c r="AC302" s="29"/>
      <c r="AD302" s="29"/>
      <c r="AE302" s="29"/>
      <c r="AF302" s="238">
        <f t="shared" si="636"/>
        <v>0</v>
      </c>
    </row>
    <row r="303" spans="1:32" x14ac:dyDescent="0.2">
      <c r="A303" s="308"/>
      <c r="B303" s="56"/>
      <c r="C303" s="266"/>
      <c r="D303" s="261"/>
      <c r="E303" s="29"/>
      <c r="F303" s="29"/>
      <c r="G303" s="29"/>
      <c r="H303" s="29"/>
      <c r="I303" s="262"/>
      <c r="J303" s="50">
        <f t="shared" si="634"/>
        <v>0</v>
      </c>
      <c r="L303" s="308"/>
      <c r="M303" s="56"/>
      <c r="N303" s="57"/>
      <c r="O303" s="29"/>
      <c r="P303" s="29"/>
      <c r="Q303" s="29"/>
      <c r="R303" s="29"/>
      <c r="S303" s="29"/>
      <c r="T303" s="29"/>
      <c r="U303" s="238">
        <f t="shared" si="635"/>
        <v>0</v>
      </c>
      <c r="V303" s="16"/>
      <c r="W303" s="308"/>
      <c r="X303" s="56"/>
      <c r="Y303" s="57"/>
      <c r="Z303" s="29"/>
      <c r="AA303" s="29"/>
      <c r="AB303" s="29"/>
      <c r="AC303" s="29"/>
      <c r="AD303" s="29"/>
      <c r="AE303" s="29"/>
      <c r="AF303" s="238">
        <f t="shared" si="636"/>
        <v>0</v>
      </c>
    </row>
    <row r="304" spans="1:32" x14ac:dyDescent="0.2">
      <c r="A304" s="308"/>
      <c r="B304" s="56"/>
      <c r="C304" s="266"/>
      <c r="D304" s="261"/>
      <c r="E304" s="29"/>
      <c r="F304" s="29"/>
      <c r="G304" s="29"/>
      <c r="H304" s="29"/>
      <c r="I304" s="262"/>
      <c r="J304" s="50">
        <f t="shared" si="634"/>
        <v>0</v>
      </c>
      <c r="L304" s="308"/>
      <c r="M304" s="56"/>
      <c r="N304" s="57"/>
      <c r="O304" s="29"/>
      <c r="P304" s="29"/>
      <c r="Q304" s="29"/>
      <c r="R304" s="29"/>
      <c r="S304" s="29"/>
      <c r="T304" s="29"/>
      <c r="U304" s="238">
        <f t="shared" si="635"/>
        <v>0</v>
      </c>
      <c r="V304" s="16"/>
      <c r="W304" s="308"/>
      <c r="X304" s="56"/>
      <c r="Y304" s="57"/>
      <c r="Z304" s="29"/>
      <c r="AA304" s="29"/>
      <c r="AB304" s="29"/>
      <c r="AC304" s="29"/>
      <c r="AD304" s="29"/>
      <c r="AE304" s="29"/>
      <c r="AF304" s="238">
        <f t="shared" si="636"/>
        <v>0</v>
      </c>
    </row>
    <row r="305" spans="1:32" x14ac:dyDescent="0.2">
      <c r="A305" s="308"/>
      <c r="B305" s="56"/>
      <c r="C305" s="266"/>
      <c r="D305" s="261"/>
      <c r="E305" s="29"/>
      <c r="F305" s="29"/>
      <c r="G305" s="29"/>
      <c r="H305" s="29"/>
      <c r="I305" s="262"/>
      <c r="J305" s="50">
        <f t="shared" si="634"/>
        <v>0</v>
      </c>
      <c r="L305" s="308"/>
      <c r="M305" s="56"/>
      <c r="N305" s="57"/>
      <c r="O305" s="29"/>
      <c r="P305" s="29"/>
      <c r="Q305" s="29"/>
      <c r="R305" s="29"/>
      <c r="S305" s="29"/>
      <c r="T305" s="29"/>
      <c r="U305" s="238">
        <f t="shared" si="635"/>
        <v>0</v>
      </c>
      <c r="V305" s="16"/>
      <c r="W305" s="308"/>
      <c r="X305" s="56"/>
      <c r="Y305" s="57"/>
      <c r="Z305" s="29"/>
      <c r="AA305" s="29"/>
      <c r="AB305" s="29"/>
      <c r="AC305" s="29"/>
      <c r="AD305" s="29"/>
      <c r="AE305" s="29"/>
      <c r="AF305" s="238">
        <f t="shared" si="636"/>
        <v>0</v>
      </c>
    </row>
    <row r="306" spans="1:32" x14ac:dyDescent="0.2">
      <c r="A306" s="308"/>
      <c r="B306" s="56"/>
      <c r="C306" s="266"/>
      <c r="D306" s="261"/>
      <c r="E306" s="29"/>
      <c r="F306" s="29"/>
      <c r="G306" s="29"/>
      <c r="H306" s="29"/>
      <c r="I306" s="262"/>
      <c r="J306" s="50">
        <f t="shared" si="634"/>
        <v>0</v>
      </c>
      <c r="L306" s="308"/>
      <c r="M306" s="56"/>
      <c r="N306" s="57"/>
      <c r="O306" s="29"/>
      <c r="P306" s="29"/>
      <c r="Q306" s="29"/>
      <c r="R306" s="29"/>
      <c r="S306" s="29"/>
      <c r="T306" s="29"/>
      <c r="U306" s="238">
        <f t="shared" si="635"/>
        <v>0</v>
      </c>
      <c r="V306" s="16"/>
      <c r="W306" s="308"/>
      <c r="X306" s="56"/>
      <c r="Y306" s="57"/>
      <c r="Z306" s="29"/>
      <c r="AA306" s="29"/>
      <c r="AB306" s="29"/>
      <c r="AC306" s="29"/>
      <c r="AD306" s="29"/>
      <c r="AE306" s="29"/>
      <c r="AF306" s="238">
        <f t="shared" si="636"/>
        <v>0</v>
      </c>
    </row>
    <row r="307" spans="1:32" x14ac:dyDescent="0.2">
      <c r="A307" s="308"/>
      <c r="B307" s="56"/>
      <c r="C307" s="266"/>
      <c r="D307" s="261"/>
      <c r="E307" s="29"/>
      <c r="F307" s="29"/>
      <c r="G307" s="29"/>
      <c r="H307" s="29"/>
      <c r="I307" s="262"/>
      <c r="J307" s="50">
        <f t="shared" si="634"/>
        <v>0</v>
      </c>
      <c r="L307" s="308"/>
      <c r="M307" s="56"/>
      <c r="N307" s="57"/>
      <c r="O307" s="29"/>
      <c r="P307" s="29"/>
      <c r="Q307" s="29"/>
      <c r="R307" s="29"/>
      <c r="S307" s="29"/>
      <c r="T307" s="29"/>
      <c r="U307" s="238">
        <f t="shared" si="635"/>
        <v>0</v>
      </c>
      <c r="V307" s="16"/>
      <c r="W307" s="308"/>
      <c r="X307" s="56"/>
      <c r="Y307" s="57"/>
      <c r="Z307" s="29"/>
      <c r="AA307" s="29"/>
      <c r="AB307" s="29"/>
      <c r="AC307" s="29"/>
      <c r="AD307" s="29"/>
      <c r="AE307" s="29"/>
      <c r="AF307" s="238">
        <f t="shared" si="636"/>
        <v>0</v>
      </c>
    </row>
    <row r="308" spans="1:32" x14ac:dyDescent="0.2">
      <c r="A308" s="308"/>
      <c r="B308" s="77"/>
      <c r="C308" s="15"/>
      <c r="D308" s="261"/>
      <c r="E308" s="29"/>
      <c r="F308" s="29"/>
      <c r="G308" s="29"/>
      <c r="H308" s="29"/>
      <c r="I308" s="262"/>
      <c r="J308" s="50">
        <f t="shared" si="634"/>
        <v>0</v>
      </c>
      <c r="L308" s="308"/>
      <c r="M308" s="77"/>
      <c r="N308" s="78"/>
      <c r="O308" s="29"/>
      <c r="P308" s="29"/>
      <c r="Q308" s="29"/>
      <c r="R308" s="29"/>
      <c r="S308" s="29"/>
      <c r="T308" s="29"/>
      <c r="U308" s="238">
        <f t="shared" si="635"/>
        <v>0</v>
      </c>
      <c r="V308" s="16"/>
      <c r="W308" s="308"/>
      <c r="X308" s="77"/>
      <c r="Y308" s="78"/>
      <c r="Z308" s="29"/>
      <c r="AA308" s="29"/>
      <c r="AB308" s="29"/>
      <c r="AC308" s="29"/>
      <c r="AD308" s="29"/>
      <c r="AE308" s="29"/>
      <c r="AF308" s="238">
        <f t="shared" si="636"/>
        <v>0</v>
      </c>
    </row>
    <row r="309" spans="1:32" x14ac:dyDescent="0.2">
      <c r="A309" s="308"/>
      <c r="B309" s="56"/>
      <c r="C309" s="266"/>
      <c r="D309" s="261"/>
      <c r="E309" s="29"/>
      <c r="F309" s="29"/>
      <c r="G309" s="29"/>
      <c r="H309" s="29"/>
      <c r="I309" s="262"/>
      <c r="J309" s="50">
        <f t="shared" si="634"/>
        <v>0</v>
      </c>
      <c r="L309" s="308"/>
      <c r="M309" s="56"/>
      <c r="N309" s="57"/>
      <c r="O309" s="29"/>
      <c r="P309" s="29"/>
      <c r="Q309" s="29"/>
      <c r="R309" s="29"/>
      <c r="S309" s="29"/>
      <c r="T309" s="29"/>
      <c r="U309" s="238">
        <f t="shared" si="635"/>
        <v>0</v>
      </c>
      <c r="V309" s="16"/>
      <c r="W309" s="308"/>
      <c r="X309" s="56"/>
      <c r="Y309" s="57"/>
      <c r="Z309" s="29"/>
      <c r="AA309" s="29"/>
      <c r="AB309" s="29"/>
      <c r="AC309" s="29"/>
      <c r="AD309" s="29"/>
      <c r="AE309" s="29"/>
      <c r="AF309" s="238">
        <f t="shared" si="636"/>
        <v>0</v>
      </c>
    </row>
    <row r="310" spans="1:32" x14ac:dyDescent="0.2">
      <c r="A310" s="308"/>
      <c r="B310" s="77"/>
      <c r="C310" s="15"/>
      <c r="D310" s="261"/>
      <c r="E310" s="29"/>
      <c r="F310" s="29"/>
      <c r="G310" s="29"/>
      <c r="H310" s="29"/>
      <c r="I310" s="262"/>
      <c r="J310" s="50">
        <f t="shared" si="634"/>
        <v>0</v>
      </c>
      <c r="L310" s="308"/>
      <c r="M310" s="77"/>
      <c r="N310" s="78"/>
      <c r="O310" s="29"/>
      <c r="P310" s="29"/>
      <c r="Q310" s="29"/>
      <c r="R310" s="29"/>
      <c r="S310" s="29"/>
      <c r="T310" s="29"/>
      <c r="U310" s="238">
        <f t="shared" si="635"/>
        <v>0</v>
      </c>
      <c r="V310" s="16"/>
      <c r="W310" s="308"/>
      <c r="X310" s="77"/>
      <c r="Y310" s="78"/>
      <c r="Z310" s="29"/>
      <c r="AA310" s="29"/>
      <c r="AB310" s="29"/>
      <c r="AC310" s="29"/>
      <c r="AD310" s="29"/>
      <c r="AE310" s="29"/>
      <c r="AF310" s="238">
        <f t="shared" si="636"/>
        <v>0</v>
      </c>
    </row>
    <row r="311" spans="1:32" x14ac:dyDescent="0.2">
      <c r="A311" s="308"/>
      <c r="B311" s="56"/>
      <c r="C311" s="266"/>
      <c r="D311" s="261"/>
      <c r="E311" s="29"/>
      <c r="F311" s="29"/>
      <c r="G311" s="29"/>
      <c r="H311" s="29"/>
      <c r="I311" s="262"/>
      <c r="J311" s="50">
        <f t="shared" si="634"/>
        <v>0</v>
      </c>
      <c r="L311" s="308"/>
      <c r="M311" s="56"/>
      <c r="N311" s="57"/>
      <c r="O311" s="29"/>
      <c r="P311" s="29"/>
      <c r="Q311" s="29"/>
      <c r="R311" s="29"/>
      <c r="S311" s="29"/>
      <c r="T311" s="29"/>
      <c r="U311" s="238">
        <f t="shared" si="635"/>
        <v>0</v>
      </c>
      <c r="V311" s="16"/>
      <c r="W311" s="308"/>
      <c r="X311" s="56"/>
      <c r="Y311" s="57"/>
      <c r="Z311" s="29"/>
      <c r="AA311" s="29"/>
      <c r="AB311" s="29"/>
      <c r="AC311" s="29"/>
      <c r="AD311" s="29"/>
      <c r="AE311" s="29"/>
      <c r="AF311" s="238">
        <f t="shared" si="636"/>
        <v>0</v>
      </c>
    </row>
    <row r="312" spans="1:32" x14ac:dyDescent="0.2">
      <c r="A312" s="308"/>
      <c r="B312" s="77"/>
      <c r="C312" s="15"/>
      <c r="D312" s="261"/>
      <c r="E312" s="29"/>
      <c r="F312" s="29"/>
      <c r="G312" s="29"/>
      <c r="H312" s="29"/>
      <c r="I312" s="262"/>
      <c r="J312" s="50">
        <f t="shared" si="634"/>
        <v>0</v>
      </c>
      <c r="L312" s="308"/>
      <c r="M312" s="77"/>
      <c r="N312" s="78"/>
      <c r="O312" s="29"/>
      <c r="P312" s="29"/>
      <c r="Q312" s="29"/>
      <c r="R312" s="29"/>
      <c r="S312" s="29"/>
      <c r="T312" s="29"/>
      <c r="U312" s="238">
        <f t="shared" si="635"/>
        <v>0</v>
      </c>
      <c r="V312" s="16"/>
      <c r="W312" s="308"/>
      <c r="X312" s="77"/>
      <c r="Y312" s="78"/>
      <c r="Z312" s="29"/>
      <c r="AA312" s="29"/>
      <c r="AB312" s="29"/>
      <c r="AC312" s="29"/>
      <c r="AD312" s="29"/>
      <c r="AE312" s="29"/>
      <c r="AF312" s="238">
        <f t="shared" si="636"/>
        <v>0</v>
      </c>
    </row>
    <row r="313" spans="1:32" ht="16" thickBot="1" x14ac:dyDescent="0.25">
      <c r="A313" s="308"/>
      <c r="B313" s="81"/>
      <c r="C313" s="255"/>
      <c r="D313" s="263"/>
      <c r="E313" s="264"/>
      <c r="F313" s="264"/>
      <c r="G313" s="264"/>
      <c r="H313" s="264"/>
      <c r="I313" s="265"/>
      <c r="J313" s="50">
        <f t="shared" si="634"/>
        <v>0</v>
      </c>
      <c r="L313" s="308"/>
      <c r="M313" s="81"/>
      <c r="N313" s="82"/>
      <c r="O313" s="29"/>
      <c r="P313" s="29"/>
      <c r="Q313" s="29"/>
      <c r="R313" s="29"/>
      <c r="S313" s="29"/>
      <c r="T313" s="29"/>
      <c r="U313" s="239">
        <f t="shared" si="635"/>
        <v>0</v>
      </c>
      <c r="V313" s="16"/>
      <c r="W313" s="308"/>
      <c r="X313" s="81"/>
      <c r="Y313" s="82"/>
      <c r="Z313" s="29"/>
      <c r="AA313" s="29"/>
      <c r="AB313" s="29"/>
      <c r="AC313" s="29"/>
      <c r="AD313" s="29"/>
      <c r="AE313" s="29"/>
      <c r="AF313" s="239">
        <f t="shared" si="636"/>
        <v>0</v>
      </c>
    </row>
    <row r="314" spans="1:32" ht="16" thickBot="1" x14ac:dyDescent="0.25">
      <c r="A314" s="308"/>
      <c r="B314" s="17" t="s">
        <v>32</v>
      </c>
      <c r="C314" s="17"/>
      <c r="D314" s="257">
        <f t="shared" ref="D314:I314" si="637">ROUND(SUM(D301:D313),0)</f>
        <v>0</v>
      </c>
      <c r="E314" s="257">
        <f t="shared" si="637"/>
        <v>0</v>
      </c>
      <c r="F314" s="257">
        <f t="shared" si="637"/>
        <v>0</v>
      </c>
      <c r="G314" s="257">
        <f t="shared" si="637"/>
        <v>0</v>
      </c>
      <c r="H314" s="257">
        <f t="shared" si="637"/>
        <v>0</v>
      </c>
      <c r="I314" s="257">
        <f t="shared" si="637"/>
        <v>0</v>
      </c>
      <c r="J314" s="54">
        <f t="shared" si="634"/>
        <v>0</v>
      </c>
      <c r="L314" s="308"/>
      <c r="M314" s="17" t="s">
        <v>32</v>
      </c>
      <c r="N314" s="17"/>
      <c r="O314" s="28">
        <f t="shared" ref="O314:T314" si="638">ROUND(SUM(O301:O313),0)</f>
        <v>0</v>
      </c>
      <c r="P314" s="28">
        <f t="shared" si="638"/>
        <v>0</v>
      </c>
      <c r="Q314" s="28">
        <f t="shared" si="638"/>
        <v>0</v>
      </c>
      <c r="R314" s="28">
        <f t="shared" si="638"/>
        <v>0</v>
      </c>
      <c r="S314" s="28">
        <f t="shared" si="638"/>
        <v>0</v>
      </c>
      <c r="T314" s="28">
        <f t="shared" si="638"/>
        <v>0</v>
      </c>
      <c r="U314" s="257">
        <f t="shared" si="635"/>
        <v>0</v>
      </c>
      <c r="V314" s="22"/>
      <c r="W314" s="308"/>
      <c r="X314" s="17" t="s">
        <v>32</v>
      </c>
      <c r="Y314" s="17"/>
      <c r="Z314" s="28">
        <f t="shared" ref="Z314:AE314" si="639">ROUND(SUM(Z301:Z313),0)</f>
        <v>0</v>
      </c>
      <c r="AA314" s="28">
        <f t="shared" si="639"/>
        <v>0</v>
      </c>
      <c r="AB314" s="28">
        <f t="shared" si="639"/>
        <v>0</v>
      </c>
      <c r="AC314" s="28">
        <f t="shared" si="639"/>
        <v>0</v>
      </c>
      <c r="AD314" s="28">
        <f t="shared" si="639"/>
        <v>0</v>
      </c>
      <c r="AE314" s="28">
        <f t="shared" si="639"/>
        <v>0</v>
      </c>
      <c r="AF314" s="257">
        <f t="shared" si="636"/>
        <v>0</v>
      </c>
    </row>
    <row r="315" spans="1:32" x14ac:dyDescent="0.2">
      <c r="A315" s="304" t="s">
        <v>18</v>
      </c>
      <c r="B315" s="37"/>
      <c r="C315" s="37"/>
      <c r="D315" s="13">
        <f t="shared" ref="D315:I315" si="640">D262</f>
        <v>2019</v>
      </c>
      <c r="E315" s="13">
        <f t="shared" si="640"/>
        <v>2020</v>
      </c>
      <c r="F315" s="13">
        <f t="shared" si="640"/>
        <v>2021</v>
      </c>
      <c r="G315" s="13">
        <f t="shared" si="640"/>
        <v>2022</v>
      </c>
      <c r="H315" s="13">
        <f t="shared" si="640"/>
        <v>2023</v>
      </c>
      <c r="I315" s="13">
        <f t="shared" si="640"/>
        <v>2024</v>
      </c>
      <c r="J315" s="46" t="s">
        <v>0</v>
      </c>
      <c r="L315" s="304" t="s">
        <v>18</v>
      </c>
      <c r="M315" s="37"/>
      <c r="N315" s="37"/>
      <c r="O315" s="13">
        <f t="shared" ref="O315:T315" si="641">O262</f>
        <v>2019</v>
      </c>
      <c r="P315" s="13">
        <f t="shared" si="641"/>
        <v>2020</v>
      </c>
      <c r="Q315" s="13">
        <f t="shared" si="641"/>
        <v>2021</v>
      </c>
      <c r="R315" s="13">
        <f t="shared" si="641"/>
        <v>2022</v>
      </c>
      <c r="S315" s="13">
        <f t="shared" si="641"/>
        <v>2023</v>
      </c>
      <c r="T315" s="13">
        <f t="shared" si="641"/>
        <v>2024</v>
      </c>
      <c r="U315" s="13" t="s">
        <v>0</v>
      </c>
      <c r="V315" s="14"/>
      <c r="W315" s="304" t="s">
        <v>18</v>
      </c>
      <c r="X315" s="37"/>
      <c r="Y315" s="37"/>
      <c r="Z315" s="13">
        <f t="shared" ref="Z315:AE315" si="642">Z262</f>
        <v>2019</v>
      </c>
      <c r="AA315" s="13">
        <f t="shared" si="642"/>
        <v>2020</v>
      </c>
      <c r="AB315" s="13">
        <f t="shared" si="642"/>
        <v>2021</v>
      </c>
      <c r="AC315" s="13">
        <f t="shared" si="642"/>
        <v>2022</v>
      </c>
      <c r="AD315" s="13">
        <f t="shared" si="642"/>
        <v>2023</v>
      </c>
      <c r="AE315" s="13">
        <f t="shared" si="642"/>
        <v>2024</v>
      </c>
      <c r="AF315" s="13" t="s">
        <v>0</v>
      </c>
    </row>
    <row r="316" spans="1:32" x14ac:dyDescent="0.2">
      <c r="A316" s="305"/>
      <c r="B316" s="33" t="s">
        <v>19</v>
      </c>
      <c r="C316" s="33"/>
      <c r="D316" s="22">
        <f t="shared" ref="D316:I316" si="643">D294+D299+D314</f>
        <v>0</v>
      </c>
      <c r="E316" s="22">
        <f t="shared" si="643"/>
        <v>0</v>
      </c>
      <c r="F316" s="22">
        <f t="shared" si="643"/>
        <v>0</v>
      </c>
      <c r="G316" s="22">
        <f t="shared" si="643"/>
        <v>0</v>
      </c>
      <c r="H316" s="22">
        <f t="shared" si="643"/>
        <v>0</v>
      </c>
      <c r="I316" s="22">
        <f t="shared" si="643"/>
        <v>0</v>
      </c>
      <c r="J316" s="50">
        <f>SUM(D316:I316)</f>
        <v>0</v>
      </c>
      <c r="L316" s="305"/>
      <c r="M316" s="33" t="s">
        <v>19</v>
      </c>
      <c r="N316" s="33"/>
      <c r="O316" s="22">
        <f t="shared" ref="O316:T316" si="644">O294+O299+O314</f>
        <v>0</v>
      </c>
      <c r="P316" s="22">
        <f t="shared" si="644"/>
        <v>0</v>
      </c>
      <c r="Q316" s="22">
        <f t="shared" si="644"/>
        <v>0</v>
      </c>
      <c r="R316" s="22">
        <f t="shared" si="644"/>
        <v>0</v>
      </c>
      <c r="S316" s="22">
        <f t="shared" si="644"/>
        <v>0</v>
      </c>
      <c r="T316" s="22">
        <f t="shared" si="644"/>
        <v>0</v>
      </c>
      <c r="U316" s="22">
        <f>SUM(O316:T316)</f>
        <v>0</v>
      </c>
      <c r="V316" s="22"/>
      <c r="W316" s="305"/>
      <c r="X316" s="33" t="s">
        <v>19</v>
      </c>
      <c r="Y316" s="33"/>
      <c r="Z316" s="22">
        <f t="shared" ref="Z316:AE316" si="645">Z294+Z299+Z314</f>
        <v>0</v>
      </c>
      <c r="AA316" s="22">
        <f t="shared" si="645"/>
        <v>0</v>
      </c>
      <c r="AB316" s="22">
        <f t="shared" si="645"/>
        <v>0</v>
      </c>
      <c r="AC316" s="22">
        <f t="shared" si="645"/>
        <v>0</v>
      </c>
      <c r="AD316" s="22">
        <f t="shared" si="645"/>
        <v>0</v>
      </c>
      <c r="AE316" s="22">
        <f t="shared" si="645"/>
        <v>0</v>
      </c>
      <c r="AF316" s="22">
        <f>SUM(Z316:AE316)</f>
        <v>0</v>
      </c>
    </row>
    <row r="317" spans="1:32" x14ac:dyDescent="0.2">
      <c r="A317" s="305"/>
      <c r="B317" s="33" t="s">
        <v>1</v>
      </c>
      <c r="C317" s="34">
        <v>0.44</v>
      </c>
      <c r="D317" s="22">
        <f>D316*$C$317</f>
        <v>0</v>
      </c>
      <c r="E317" s="22">
        <f t="shared" ref="E317:I317" si="646">E316*$C$317</f>
        <v>0</v>
      </c>
      <c r="F317" s="22">
        <f t="shared" si="646"/>
        <v>0</v>
      </c>
      <c r="G317" s="22">
        <f t="shared" si="646"/>
        <v>0</v>
      </c>
      <c r="H317" s="22">
        <f t="shared" si="646"/>
        <v>0</v>
      </c>
      <c r="I317" s="22">
        <f t="shared" si="646"/>
        <v>0</v>
      </c>
      <c r="J317" s="50">
        <f>SUM(D317:I317)</f>
        <v>0</v>
      </c>
      <c r="L317" s="305"/>
      <c r="M317" s="33" t="s">
        <v>1</v>
      </c>
      <c r="N317" s="34">
        <v>0</v>
      </c>
      <c r="O317" s="22">
        <f>O316*$N317</f>
        <v>0</v>
      </c>
      <c r="P317" s="22">
        <f t="shared" ref="P317" si="647">P316*$N317</f>
        <v>0</v>
      </c>
      <c r="Q317" s="22">
        <f t="shared" ref="Q317" si="648">Q316*$N317</f>
        <v>0</v>
      </c>
      <c r="R317" s="22">
        <f t="shared" ref="R317" si="649">R316*$N317</f>
        <v>0</v>
      </c>
      <c r="S317" s="22">
        <f t="shared" ref="S317" si="650">S316*$N317</f>
        <v>0</v>
      </c>
      <c r="T317" s="22">
        <f t="shared" ref="T317" si="651">T316*$N317</f>
        <v>0</v>
      </c>
      <c r="U317" s="22">
        <f>SUM(O317:T317)</f>
        <v>0</v>
      </c>
      <c r="V317" s="22"/>
      <c r="W317" s="305"/>
      <c r="X317" s="33" t="s">
        <v>1</v>
      </c>
      <c r="Y317" s="34">
        <v>0</v>
      </c>
      <c r="Z317" s="22">
        <f>Z316*$Y317</f>
        <v>0</v>
      </c>
      <c r="AA317" s="22">
        <f t="shared" ref="AA317" si="652">AA316*$Y317</f>
        <v>0</v>
      </c>
      <c r="AB317" s="22">
        <f t="shared" ref="AB317" si="653">AB316*$Y317</f>
        <v>0</v>
      </c>
      <c r="AC317" s="22">
        <f t="shared" ref="AC317" si="654">AC316*$Y317</f>
        <v>0</v>
      </c>
      <c r="AD317" s="22">
        <f t="shared" ref="AD317" si="655">AD316*$Y317</f>
        <v>0</v>
      </c>
      <c r="AE317" s="22">
        <f t="shared" ref="AE317" si="656">AE316*$Y317</f>
        <v>0</v>
      </c>
      <c r="AF317" s="22">
        <f>SUM(Z317:AE317)</f>
        <v>0</v>
      </c>
    </row>
    <row r="318" spans="1:32" ht="16" thickBot="1" x14ac:dyDescent="0.25">
      <c r="A318" s="306"/>
      <c r="B318" s="17" t="s">
        <v>20</v>
      </c>
      <c r="C318" s="17"/>
      <c r="D318" s="28">
        <f t="shared" ref="D318:I318" si="657">SUM(D316:D317)</f>
        <v>0</v>
      </c>
      <c r="E318" s="28">
        <f t="shared" si="657"/>
        <v>0</v>
      </c>
      <c r="F318" s="28">
        <f t="shared" si="657"/>
        <v>0</v>
      </c>
      <c r="G318" s="28">
        <f t="shared" si="657"/>
        <v>0</v>
      </c>
      <c r="H318" s="28">
        <f t="shared" si="657"/>
        <v>0</v>
      </c>
      <c r="I318" s="28">
        <f t="shared" si="657"/>
        <v>0</v>
      </c>
      <c r="J318" s="54">
        <f>SUM(D318:I318)</f>
        <v>0</v>
      </c>
      <c r="L318" s="306"/>
      <c r="M318" s="17" t="s">
        <v>20</v>
      </c>
      <c r="N318" s="17"/>
      <c r="O318" s="28">
        <f t="shared" ref="O318:T318" si="658">SUM(O316:O317)</f>
        <v>0</v>
      </c>
      <c r="P318" s="28">
        <f t="shared" si="658"/>
        <v>0</v>
      </c>
      <c r="Q318" s="28">
        <f t="shared" si="658"/>
        <v>0</v>
      </c>
      <c r="R318" s="28">
        <f t="shared" si="658"/>
        <v>0</v>
      </c>
      <c r="S318" s="28">
        <f t="shared" si="658"/>
        <v>0</v>
      </c>
      <c r="T318" s="28">
        <f t="shared" si="658"/>
        <v>0</v>
      </c>
      <c r="U318" s="28">
        <f>SUM(O318:T318)</f>
        <v>0</v>
      </c>
      <c r="V318" s="22"/>
      <c r="W318" s="306"/>
      <c r="X318" s="17" t="s">
        <v>20</v>
      </c>
      <c r="Y318" s="17"/>
      <c r="Z318" s="28">
        <f t="shared" ref="Z318:AE318" si="659">SUM(Z316:Z317)</f>
        <v>0</v>
      </c>
      <c r="AA318" s="28">
        <f t="shared" si="659"/>
        <v>0</v>
      </c>
      <c r="AB318" s="28">
        <f t="shared" si="659"/>
        <v>0</v>
      </c>
      <c r="AC318" s="28">
        <f t="shared" si="659"/>
        <v>0</v>
      </c>
      <c r="AD318" s="28">
        <f t="shared" si="659"/>
        <v>0</v>
      </c>
      <c r="AE318" s="28">
        <f t="shared" si="659"/>
        <v>0</v>
      </c>
      <c r="AF318" s="28">
        <f>SUM(Z318:AE318)</f>
        <v>0</v>
      </c>
    </row>
    <row r="319" spans="1:32" x14ac:dyDescent="0.2">
      <c r="B319" s="33" t="s">
        <v>71</v>
      </c>
      <c r="C319" s="33"/>
      <c r="E319" s="22">
        <f>J318+U318+AF318</f>
        <v>0</v>
      </c>
    </row>
    <row r="320" spans="1:32" x14ac:dyDescent="0.2">
      <c r="B320" s="33" t="s">
        <v>72</v>
      </c>
      <c r="C320" s="33"/>
      <c r="D320" s="22"/>
      <c r="E320" s="22">
        <f>J316+U316+AF316</f>
        <v>0</v>
      </c>
    </row>
  </sheetData>
  <mergeCells count="186">
    <mergeCell ref="M273:N273"/>
    <mergeCell ref="X273:Y273"/>
    <mergeCell ref="B273:C273"/>
    <mergeCell ref="A198:J198"/>
    <mergeCell ref="L198:U198"/>
    <mergeCell ref="W198:AF198"/>
    <mergeCell ref="A199:A231"/>
    <mergeCell ref="B199:C199"/>
    <mergeCell ref="L199:L231"/>
    <mergeCell ref="M199:N199"/>
    <mergeCell ref="W199:W231"/>
    <mergeCell ref="X199:Y199"/>
    <mergeCell ref="B210:C210"/>
    <mergeCell ref="M210:N210"/>
    <mergeCell ref="X210:Y210"/>
    <mergeCell ref="B216:C216"/>
    <mergeCell ref="M216:N216"/>
    <mergeCell ref="X216:Y216"/>
    <mergeCell ref="X226:Y226"/>
    <mergeCell ref="B200:C200"/>
    <mergeCell ref="M200:N200"/>
    <mergeCell ref="X200:Y200"/>
    <mergeCell ref="A262:A294"/>
    <mergeCell ref="B262:C262"/>
    <mergeCell ref="L196:U196"/>
    <mergeCell ref="A197:J197"/>
    <mergeCell ref="L197:U197"/>
    <mergeCell ref="W197:AF197"/>
    <mergeCell ref="X90:Y90"/>
    <mergeCell ref="B100:C100"/>
    <mergeCell ref="M100:N100"/>
    <mergeCell ref="X100:Y100"/>
    <mergeCell ref="B163:C163"/>
    <mergeCell ref="M163:N163"/>
    <mergeCell ref="A136:A168"/>
    <mergeCell ref="B136:C136"/>
    <mergeCell ref="L136:L168"/>
    <mergeCell ref="M136:N136"/>
    <mergeCell ref="X153:Y153"/>
    <mergeCell ref="M147:N147"/>
    <mergeCell ref="X147:Y147"/>
    <mergeCell ref="B147:C147"/>
    <mergeCell ref="A169:A173"/>
    <mergeCell ref="A174:A188"/>
    <mergeCell ref="L169:L173"/>
    <mergeCell ref="A106:A110"/>
    <mergeCell ref="L106:L110"/>
    <mergeCell ref="W106:W110"/>
    <mergeCell ref="M73:N73"/>
    <mergeCell ref="X73:Y73"/>
    <mergeCell ref="B74:C74"/>
    <mergeCell ref="M74:N74"/>
    <mergeCell ref="X74:Y74"/>
    <mergeCell ref="L70:U70"/>
    <mergeCell ref="A71:J71"/>
    <mergeCell ref="L71:U71"/>
    <mergeCell ref="W71:AF71"/>
    <mergeCell ref="A72:J72"/>
    <mergeCell ref="L72:U72"/>
    <mergeCell ref="W72:AF72"/>
    <mergeCell ref="X84:Y84"/>
    <mergeCell ref="B90:C90"/>
    <mergeCell ref="M90:N90"/>
    <mergeCell ref="W169:W173"/>
    <mergeCell ref="L174:L188"/>
    <mergeCell ref="W174:W188"/>
    <mergeCell ref="X163:Y163"/>
    <mergeCell ref="A111:A125"/>
    <mergeCell ref="L111:L125"/>
    <mergeCell ref="W111:W125"/>
    <mergeCell ref="A135:J135"/>
    <mergeCell ref="L135:U135"/>
    <mergeCell ref="W135:AF135"/>
    <mergeCell ref="W136:W168"/>
    <mergeCell ref="X136:Y136"/>
    <mergeCell ref="B137:C137"/>
    <mergeCell ref="M137:N137"/>
    <mergeCell ref="X137:Y137"/>
    <mergeCell ref="L262:L294"/>
    <mergeCell ref="M262:N262"/>
    <mergeCell ref="A73:A105"/>
    <mergeCell ref="L73:L105"/>
    <mergeCell ref="W73:W105"/>
    <mergeCell ref="B84:C84"/>
    <mergeCell ref="M84:N84"/>
    <mergeCell ref="B73:C73"/>
    <mergeCell ref="A126:A129"/>
    <mergeCell ref="L126:L129"/>
    <mergeCell ref="W126:W129"/>
    <mergeCell ref="L133:U133"/>
    <mergeCell ref="A134:J134"/>
    <mergeCell ref="L134:U134"/>
    <mergeCell ref="W134:AF134"/>
    <mergeCell ref="B279:C279"/>
    <mergeCell ref="M279:N279"/>
    <mergeCell ref="A189:A192"/>
    <mergeCell ref="L189:L192"/>
    <mergeCell ref="W189:W192"/>
    <mergeCell ref="B153:C153"/>
    <mergeCell ref="M153:N153"/>
    <mergeCell ref="A252:A255"/>
    <mergeCell ref="L252:L255"/>
    <mergeCell ref="A315:A318"/>
    <mergeCell ref="L315:L318"/>
    <mergeCell ref="W315:W318"/>
    <mergeCell ref="A300:A314"/>
    <mergeCell ref="L300:L314"/>
    <mergeCell ref="W300:W314"/>
    <mergeCell ref="A260:J260"/>
    <mergeCell ref="L260:U260"/>
    <mergeCell ref="W260:AF260"/>
    <mergeCell ref="A261:J261"/>
    <mergeCell ref="L261:U261"/>
    <mergeCell ref="W261:AF261"/>
    <mergeCell ref="B289:C289"/>
    <mergeCell ref="M289:N289"/>
    <mergeCell ref="X289:Y289"/>
    <mergeCell ref="A295:A299"/>
    <mergeCell ref="L295:L299"/>
    <mergeCell ref="W295:W299"/>
    <mergeCell ref="W262:W294"/>
    <mergeCell ref="X262:Y262"/>
    <mergeCell ref="B263:C263"/>
    <mergeCell ref="M263:N263"/>
    <mergeCell ref="X263:Y263"/>
    <mergeCell ref="X279:Y279"/>
    <mergeCell ref="W252:W255"/>
    <mergeCell ref="L259:U259"/>
    <mergeCell ref="A237:A251"/>
    <mergeCell ref="L237:L251"/>
    <mergeCell ref="W237:W251"/>
    <mergeCell ref="B226:C226"/>
    <mergeCell ref="M226:N226"/>
    <mergeCell ref="A232:A236"/>
    <mergeCell ref="L232:L236"/>
    <mergeCell ref="W232:W236"/>
    <mergeCell ref="M20:N20"/>
    <mergeCell ref="M26:N26"/>
    <mergeCell ref="M36:N36"/>
    <mergeCell ref="X20:Y20"/>
    <mergeCell ref="X26:Y26"/>
    <mergeCell ref="X36:Y36"/>
    <mergeCell ref="M10:N10"/>
    <mergeCell ref="X10:Y10"/>
    <mergeCell ref="A8:J8"/>
    <mergeCell ref="L8:U8"/>
    <mergeCell ref="W8:AF8"/>
    <mergeCell ref="A9:A41"/>
    <mergeCell ref="B9:C9"/>
    <mergeCell ref="L9:L41"/>
    <mergeCell ref="M9:N9"/>
    <mergeCell ref="W9:W41"/>
    <mergeCell ref="X9:Y9"/>
    <mergeCell ref="B20:C20"/>
    <mergeCell ref="B26:C26"/>
    <mergeCell ref="B36:C36"/>
    <mergeCell ref="A63:A66"/>
    <mergeCell ref="L63:L66"/>
    <mergeCell ref="W63:W66"/>
    <mergeCell ref="A47:A62"/>
    <mergeCell ref="M56:N56"/>
    <mergeCell ref="M58:N58"/>
    <mergeCell ref="L47:L62"/>
    <mergeCell ref="W47:W62"/>
    <mergeCell ref="A42:A46"/>
    <mergeCell ref="L42:L46"/>
    <mergeCell ref="W42:W46"/>
    <mergeCell ref="Z4:AF5"/>
    <mergeCell ref="S4:S5"/>
    <mergeCell ref="Y4:Y5"/>
    <mergeCell ref="T4:X5"/>
    <mergeCell ref="Z6:AA6"/>
    <mergeCell ref="R6:S6"/>
    <mergeCell ref="G7:J7"/>
    <mergeCell ref="D7:F7"/>
    <mergeCell ref="N1:O1"/>
    <mergeCell ref="P1:R1"/>
    <mergeCell ref="S1:U1"/>
    <mergeCell ref="A2:AF3"/>
    <mergeCell ref="A4:A5"/>
    <mergeCell ref="B4:E5"/>
    <mergeCell ref="F4:F5"/>
    <mergeCell ref="M4:M5"/>
    <mergeCell ref="G4:L5"/>
    <mergeCell ref="N4:R5"/>
    <mergeCell ref="W7:AF7"/>
  </mergeCells>
  <dataValidations disablePrompts="1" count="1">
    <dataValidation type="list" allowBlank="1" showInputMessage="1" showErrorMessage="1" sqref="B9:C9 M9:N9 X9:Y9 B73:C73 M73:N73 X73:Y73 B136:C136 M136:N136 X136:Y136 B199:C199 M199:N199 X199:Y199 B262:C262 M262:N262 X262:Y262" xr:uid="{00000000-0002-0000-0000-000000000000}">
      <formula1>Monthsorhours</formula1>
    </dataValidation>
  </dataValidations>
  <hyperlinks>
    <hyperlink ref="G4:L5" location="'DFF - RSO budget'!A69" display="'DFF - RSO budget'!A69" xr:uid="{00000000-0004-0000-0000-000000000000}"/>
    <hyperlink ref="N4:R5" location="'DFF - RSO budget'!A132" display="'DFF - RSO budget'!A132" xr:uid="{00000000-0004-0000-0000-000001000000}"/>
    <hyperlink ref="T4:X5" location="'DFF - RSO budget'!A195" display="'DFF - RSO budget'!A195" xr:uid="{00000000-0004-0000-0000-000002000000}"/>
    <hyperlink ref="Z4:AF5" location="'DFF - RSO budget'!A258" display="'DFF - RSO budget'!A258" xr:uid="{00000000-0004-0000-0000-000003000000}"/>
    <hyperlink ref="B4:E5" location="'DFF - RSO budget'!A1" display="'DFF - RSO budget'!A1" xr:uid="{00000000-0004-0000-0000-000004000000}"/>
  </hyperlink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92D050"/>
  </sheetPr>
  <dimension ref="A2:O17"/>
  <sheetViews>
    <sheetView workbookViewId="0">
      <selection activeCell="N17" sqref="N17"/>
    </sheetView>
  </sheetViews>
  <sheetFormatPr baseColWidth="10" defaultColWidth="8.83203125" defaultRowHeight="15" x14ac:dyDescent="0.2"/>
  <sheetData>
    <row r="2" spans="1:15" x14ac:dyDescent="0.2">
      <c r="A2" t="s">
        <v>96</v>
      </c>
    </row>
    <row r="4" spans="1:15" x14ac:dyDescent="0.2">
      <c r="A4" t="s">
        <v>99</v>
      </c>
      <c r="O4" s="283" t="s">
        <v>98</v>
      </c>
    </row>
    <row r="6" spans="1:15" x14ac:dyDescent="0.2">
      <c r="A6" t="s">
        <v>101</v>
      </c>
    </row>
    <row r="8" spans="1:15" x14ac:dyDescent="0.2">
      <c r="A8" t="s">
        <v>97</v>
      </c>
    </row>
    <row r="10" spans="1:15" x14ac:dyDescent="0.2">
      <c r="A10" t="s">
        <v>94</v>
      </c>
    </row>
    <row r="11" spans="1:15" x14ac:dyDescent="0.2">
      <c r="B11" t="s">
        <v>103</v>
      </c>
    </row>
    <row r="12" spans="1:15" x14ac:dyDescent="0.2">
      <c r="B12" t="s">
        <v>104</v>
      </c>
    </row>
    <row r="13" spans="1:15" x14ac:dyDescent="0.2">
      <c r="B13" t="s">
        <v>95</v>
      </c>
    </row>
    <row r="15" spans="1:15" x14ac:dyDescent="0.2">
      <c r="B15" t="s">
        <v>102</v>
      </c>
    </row>
    <row r="17" spans="1:14" x14ac:dyDescent="0.2">
      <c r="A17" t="s">
        <v>105</v>
      </c>
      <c r="N17" s="283" t="s">
        <v>93</v>
      </c>
    </row>
  </sheetData>
  <hyperlinks>
    <hyperlink ref="N17" location="'DFF - RSO budget'!R7" display="Link til R7" xr:uid="{00000000-0004-0000-0100-000000000000}"/>
    <hyperlink ref="O4" r:id="rId1" xr:uid="{00000000-0004-0000-0100-000001000000}"/>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A1:M97"/>
  <sheetViews>
    <sheetView workbookViewId="0">
      <selection activeCell="G22" sqref="G22:L22"/>
    </sheetView>
  </sheetViews>
  <sheetFormatPr baseColWidth="10" defaultColWidth="8.83203125" defaultRowHeight="15" x14ac:dyDescent="0.2"/>
  <cols>
    <col min="1" max="1" width="30.6640625" customWidth="1"/>
    <col min="2" max="12" width="13.6640625" customWidth="1"/>
    <col min="13" max="13" width="130.6640625" customWidth="1"/>
  </cols>
  <sheetData>
    <row r="1" spans="1:13" ht="19" x14ac:dyDescent="0.25">
      <c r="A1" s="96" t="s">
        <v>75</v>
      </c>
      <c r="B1" s="94"/>
      <c r="C1" s="94"/>
      <c r="D1" s="95"/>
      <c r="E1" s="94"/>
      <c r="F1" s="94"/>
      <c r="G1" s="94"/>
      <c r="H1" s="94"/>
      <c r="I1" s="94"/>
      <c r="J1" s="94"/>
      <c r="K1" s="94"/>
      <c r="L1" s="94"/>
      <c r="M1" s="94"/>
    </row>
    <row r="2" spans="1:13" x14ac:dyDescent="0.2">
      <c r="A2" t="s">
        <v>79</v>
      </c>
    </row>
    <row r="3" spans="1:13" x14ac:dyDescent="0.2">
      <c r="A3" s="123" t="s">
        <v>78</v>
      </c>
      <c r="E3" s="155"/>
    </row>
    <row r="4" spans="1:13" x14ac:dyDescent="0.2">
      <c r="E4" s="155"/>
    </row>
    <row r="5" spans="1:13" ht="16" thickBot="1" x14ac:dyDescent="0.25">
      <c r="A5" s="122" t="s">
        <v>66</v>
      </c>
      <c r="E5" s="154"/>
      <c r="F5" s="153" t="s">
        <v>70</v>
      </c>
    </row>
    <row r="6" spans="1:13" ht="31" thickBot="1" x14ac:dyDescent="0.25">
      <c r="A6" s="62" t="s">
        <v>45</v>
      </c>
      <c r="B6" s="63" t="s">
        <v>34</v>
      </c>
      <c r="C6" s="63" t="s">
        <v>35</v>
      </c>
      <c r="D6" s="63" t="s">
        <v>36</v>
      </c>
      <c r="E6" s="124" t="s">
        <v>37</v>
      </c>
      <c r="F6" s="58" t="s">
        <v>38</v>
      </c>
      <c r="G6" s="59" t="s">
        <v>39</v>
      </c>
      <c r="H6" s="59" t="s">
        <v>40</v>
      </c>
      <c r="I6" s="60" t="s">
        <v>41</v>
      </c>
      <c r="J6" s="60" t="s">
        <v>42</v>
      </c>
      <c r="K6" s="63" t="s">
        <v>43</v>
      </c>
      <c r="L6" s="63" t="s">
        <v>44</v>
      </c>
      <c r="M6" s="64" t="s">
        <v>46</v>
      </c>
    </row>
    <row r="7" spans="1:13" x14ac:dyDescent="0.2">
      <c r="A7" s="61" t="str">
        <f>'DFF - RSO budget'!B11</f>
        <v xml:space="preserve">Kasper Munch Terkelsen </v>
      </c>
      <c r="B7" s="156"/>
      <c r="C7" s="156"/>
      <c r="D7" s="156"/>
      <c r="E7" s="140">
        <f>ROUND(('DFF - RSO budget'!J11),0)</f>
        <v>0</v>
      </c>
      <c r="F7" s="141">
        <f>'DFF - RSO budget'!J27</f>
        <v>0</v>
      </c>
      <c r="G7" s="142">
        <f>'DFF - RSO budget'!U11</f>
        <v>9</v>
      </c>
      <c r="H7" s="141">
        <f>'DFF - RSO budget'!U27</f>
        <v>534174.80683305603</v>
      </c>
      <c r="I7" s="142">
        <f>'DFF - RSO budget'!AF11</f>
        <v>0</v>
      </c>
      <c r="J7" s="143">
        <f>'DFF - RSO budget'!AF27</f>
        <v>0</v>
      </c>
      <c r="K7" s="157">
        <f>'DFF - RSO budget'!J11+'DFF - RSO budget'!U11+'DFF - RSO budget'!AF11</f>
        <v>9</v>
      </c>
      <c r="L7" s="158">
        <f>'DFF - RSO budget'!J27+'DFF - RSO budget'!U27+'DFF - RSO budget'!AF27</f>
        <v>534174.80683305603</v>
      </c>
      <c r="M7" s="144"/>
    </row>
    <row r="8" spans="1:13" x14ac:dyDescent="0.2">
      <c r="A8" s="61">
        <f>'DFF - RSO budget'!B12</f>
        <v>0</v>
      </c>
      <c r="B8" s="156"/>
      <c r="C8" s="156"/>
      <c r="D8" s="156"/>
      <c r="E8" s="125">
        <f>ROUND(('DFF - RSO budget'!J12),0)</f>
        <v>0</v>
      </c>
      <c r="F8" s="84">
        <f>'DFF - RSO budget'!J28</f>
        <v>0</v>
      </c>
      <c r="G8" s="83">
        <f>'DFF - RSO budget'!U12</f>
        <v>0</v>
      </c>
      <c r="H8" s="84">
        <f>'DFF - RSO budget'!U28</f>
        <v>0</v>
      </c>
      <c r="I8" s="83">
        <f>'DFF - RSO budget'!AF12</f>
        <v>0</v>
      </c>
      <c r="J8" s="126">
        <f>'DFF - RSO budget'!AF28</f>
        <v>0</v>
      </c>
      <c r="K8" s="157">
        <f>'DFF - RSO budget'!J12+'DFF - RSO budget'!U12+'DFF - RSO budget'!AF12</f>
        <v>0</v>
      </c>
      <c r="L8" s="158">
        <f>'DFF - RSO budget'!J28+'DFF - RSO budget'!U28+'DFF - RSO budget'!AF28</f>
        <v>0</v>
      </c>
      <c r="M8" s="131"/>
    </row>
    <row r="9" spans="1:13" x14ac:dyDescent="0.2">
      <c r="A9" s="61">
        <f>'DFF - RSO budget'!B13</f>
        <v>0</v>
      </c>
      <c r="B9" s="156"/>
      <c r="C9" s="156"/>
      <c r="D9" s="156"/>
      <c r="E9" s="125">
        <f>ROUND(('DFF - RSO budget'!J13),0)</f>
        <v>0</v>
      </c>
      <c r="F9" s="84">
        <f>'DFF - RSO budget'!J29</f>
        <v>0</v>
      </c>
      <c r="G9" s="83">
        <f>'DFF - RSO budget'!U13</f>
        <v>0</v>
      </c>
      <c r="H9" s="84">
        <f>'DFF - RSO budget'!U29</f>
        <v>0</v>
      </c>
      <c r="I9" s="83">
        <f>'DFF - RSO budget'!AF13</f>
        <v>0</v>
      </c>
      <c r="J9" s="126">
        <f>'DFF - RSO budget'!AF29</f>
        <v>0</v>
      </c>
      <c r="K9" s="157">
        <f>'DFF - RSO budget'!J13+'DFF - RSO budget'!U13+'DFF - RSO budget'!AF13</f>
        <v>0</v>
      </c>
      <c r="L9" s="158">
        <f>'DFF - RSO budget'!J29+'DFF - RSO budget'!U29+'DFF - RSO budget'!AF29</f>
        <v>0</v>
      </c>
      <c r="M9" s="131"/>
    </row>
    <row r="10" spans="1:13" x14ac:dyDescent="0.2">
      <c r="A10" s="61">
        <f>'DFF - RSO budget'!B14</f>
        <v>0</v>
      </c>
      <c r="B10" s="156"/>
      <c r="C10" s="156"/>
      <c r="D10" s="156"/>
      <c r="E10" s="125">
        <f>ROUND(('DFF - RSO budget'!J14),0)</f>
        <v>0</v>
      </c>
      <c r="F10" s="84">
        <f>'DFF - RSO budget'!J30</f>
        <v>0</v>
      </c>
      <c r="G10" s="83">
        <f>'DFF - RSO budget'!U14</f>
        <v>0</v>
      </c>
      <c r="H10" s="84">
        <f>'DFF - RSO budget'!U30</f>
        <v>0</v>
      </c>
      <c r="I10" s="83">
        <f>'DFF - RSO budget'!AF14</f>
        <v>0</v>
      </c>
      <c r="J10" s="126">
        <f>'DFF - RSO budget'!AF30</f>
        <v>0</v>
      </c>
      <c r="K10" s="157">
        <f>'DFF - RSO budget'!J14+'DFF - RSO budget'!U14+'DFF - RSO budget'!AF14</f>
        <v>0</v>
      </c>
      <c r="L10" s="158">
        <f>'DFF - RSO budget'!J30+'DFF - RSO budget'!U30+'DFF - RSO budget'!AF30</f>
        <v>0</v>
      </c>
      <c r="M10" s="131"/>
    </row>
    <row r="11" spans="1:13" x14ac:dyDescent="0.2">
      <c r="A11" s="61">
        <f>'DFF - RSO budget'!B15</f>
        <v>0</v>
      </c>
      <c r="B11" s="156"/>
      <c r="C11" s="156"/>
      <c r="D11" s="156"/>
      <c r="E11" s="125">
        <f>ROUND(('DFF - RSO budget'!J15),0)</f>
        <v>0</v>
      </c>
      <c r="F11" s="84">
        <f>'DFF - RSO budget'!J31</f>
        <v>0</v>
      </c>
      <c r="G11" s="83">
        <f>'DFF - RSO budget'!U15</f>
        <v>0</v>
      </c>
      <c r="H11" s="84">
        <f>'DFF - RSO budget'!U31</f>
        <v>0</v>
      </c>
      <c r="I11" s="83">
        <f>'DFF - RSO budget'!AF15</f>
        <v>0</v>
      </c>
      <c r="J11" s="126">
        <f>'DFF - RSO budget'!AF31</f>
        <v>0</v>
      </c>
      <c r="K11" s="157">
        <f>'DFF - RSO budget'!J15+'DFF - RSO budget'!U15+'DFF - RSO budget'!AF15</f>
        <v>0</v>
      </c>
      <c r="L11" s="158">
        <f>'DFF - RSO budget'!J31+'DFF - RSO budget'!U31+'DFF - RSO budget'!AF31</f>
        <v>0</v>
      </c>
      <c r="M11" s="131"/>
    </row>
    <row r="12" spans="1:13" x14ac:dyDescent="0.2">
      <c r="A12" s="61" t="str">
        <f>'DFF - RSO budget'!B16</f>
        <v>Phd 3-year</v>
      </c>
      <c r="B12" s="156"/>
      <c r="C12" s="156"/>
      <c r="D12" s="156"/>
      <c r="E12" s="125">
        <f>ROUND(('DFF - RSO budget'!J16),0)</f>
        <v>36</v>
      </c>
      <c r="F12" s="84">
        <f>'DFF - RSO budget'!J32</f>
        <v>1251480.6168076799</v>
      </c>
      <c r="G12" s="83">
        <f>'DFF - RSO budget'!U16</f>
        <v>0</v>
      </c>
      <c r="H12" s="84">
        <f>'DFF - RSO budget'!U32</f>
        <v>0</v>
      </c>
      <c r="I12" s="83">
        <f>'DFF - RSO budget'!AF16</f>
        <v>0</v>
      </c>
      <c r="J12" s="126">
        <f>'DFF - RSO budget'!AF32</f>
        <v>0</v>
      </c>
      <c r="K12" s="157">
        <f>'DFF - RSO budget'!J16+'DFF - RSO budget'!U16+'DFF - RSO budget'!AF16</f>
        <v>36</v>
      </c>
      <c r="L12" s="158">
        <f>'DFF - RSO budget'!J32+'DFF - RSO budget'!U32+'DFF - RSO budget'!AF32</f>
        <v>1251480.6168076799</v>
      </c>
      <c r="M12" s="131"/>
    </row>
    <row r="13" spans="1:13" x14ac:dyDescent="0.2">
      <c r="A13" s="61" t="str">
        <f>'DFF - RSO budget'!B17</f>
        <v>Postdoc</v>
      </c>
      <c r="B13" s="156"/>
      <c r="C13" s="156"/>
      <c r="D13" s="156"/>
      <c r="E13" s="125">
        <f>ROUND(('DFF - RSO budget'!J17),0)</f>
        <v>0</v>
      </c>
      <c r="F13" s="84">
        <f>'DFF - RSO budget'!J33</f>
        <v>0</v>
      </c>
      <c r="G13" s="83">
        <f>'DFF - RSO budget'!U17</f>
        <v>0</v>
      </c>
      <c r="H13" s="84">
        <f>'DFF - RSO budget'!U33</f>
        <v>0</v>
      </c>
      <c r="I13" s="83">
        <f>'DFF - RSO budget'!AF17</f>
        <v>0</v>
      </c>
      <c r="J13" s="126">
        <f>'DFF - RSO budget'!AF33</f>
        <v>0</v>
      </c>
      <c r="K13" s="157">
        <f>'DFF - RSO budget'!J17+'DFF - RSO budget'!U17+'DFF - RSO budget'!AF17</f>
        <v>0</v>
      </c>
      <c r="L13" s="158">
        <f>'DFF - RSO budget'!J33+'DFF - RSO budget'!U33+'DFF - RSO budget'!AF33</f>
        <v>0</v>
      </c>
      <c r="M13" s="131"/>
    </row>
    <row r="14" spans="1:13" x14ac:dyDescent="0.2">
      <c r="A14" s="61" t="str">
        <f>'DFF - RSO budget'!B18</f>
        <v>Phd Part A</v>
      </c>
      <c r="B14" s="156"/>
      <c r="C14" s="156"/>
      <c r="D14" s="156"/>
      <c r="E14" s="125">
        <f>ROUND(('DFF - RSO budget'!J18),0)</f>
        <v>0</v>
      </c>
      <c r="F14" s="84">
        <f>'DFF - RSO budget'!J34</f>
        <v>0</v>
      </c>
      <c r="G14" s="83">
        <f>'DFF - RSO budget'!U18</f>
        <v>0</v>
      </c>
      <c r="H14" s="84">
        <f>'DFF - RSO budget'!U34</f>
        <v>0</v>
      </c>
      <c r="I14" s="83">
        <f>'DFF - RSO budget'!AF18</f>
        <v>0</v>
      </c>
      <c r="J14" s="126">
        <f>'DFF - RSO budget'!AF34</f>
        <v>0</v>
      </c>
      <c r="K14" s="157">
        <f>'DFF - RSO budget'!J18+'DFF - RSO budget'!U18+'DFF - RSO budget'!AF18</f>
        <v>0</v>
      </c>
      <c r="L14" s="158">
        <f>'DFF - RSO budget'!J34+'DFF - RSO budget'!U34+'DFF - RSO budget'!AF34</f>
        <v>0</v>
      </c>
      <c r="M14" s="131"/>
    </row>
    <row r="15" spans="1:13" x14ac:dyDescent="0.2">
      <c r="A15" s="61" t="str">
        <f>'DFF - RSO budget'!B19</f>
        <v>Phd Part B</v>
      </c>
      <c r="B15" s="156"/>
      <c r="C15" s="156"/>
      <c r="D15" s="156"/>
      <c r="E15" s="125">
        <f>ROUND(('DFF - RSO budget'!J19),0)</f>
        <v>0</v>
      </c>
      <c r="F15" s="84">
        <f>'DFF - RSO budget'!J35</f>
        <v>0</v>
      </c>
      <c r="G15" s="83">
        <f>'DFF - RSO budget'!U19</f>
        <v>0</v>
      </c>
      <c r="H15" s="84">
        <f>'DFF - RSO budget'!U35</f>
        <v>0</v>
      </c>
      <c r="I15" s="83">
        <f>'DFF - RSO budget'!AF19</f>
        <v>0</v>
      </c>
      <c r="J15" s="126">
        <f>'DFF - RSO budget'!AF35</f>
        <v>0</v>
      </c>
      <c r="K15" s="157">
        <f>'DFF - RSO budget'!J19+'DFF - RSO budget'!U19+'DFF - RSO budget'!AF19</f>
        <v>0</v>
      </c>
      <c r="L15" s="158">
        <f>'DFF - RSO budget'!J35+'DFF - RSO budget'!U35+'DFF - RSO budget'!AF35</f>
        <v>0</v>
      </c>
      <c r="M15" s="131"/>
    </row>
    <row r="16" spans="1:13" x14ac:dyDescent="0.2">
      <c r="A16" s="61" t="str">
        <f>'DFF - RSO budget'!B21</f>
        <v>Lab. Technician</v>
      </c>
      <c r="B16" s="156"/>
      <c r="C16" s="156"/>
      <c r="D16" s="156"/>
      <c r="E16" s="125">
        <f>ROUND(('DFF - RSO budget'!J21),0)</f>
        <v>0</v>
      </c>
      <c r="F16" s="84">
        <f>'DFF - RSO budget'!J37</f>
        <v>0</v>
      </c>
      <c r="G16" s="83">
        <f>'DFF - RSO budget'!U21</f>
        <v>0</v>
      </c>
      <c r="H16" s="84">
        <f>'DFF - RSO budget'!U37</f>
        <v>0</v>
      </c>
      <c r="I16" s="83">
        <f>'DFF - RSO budget'!AF21</f>
        <v>0</v>
      </c>
      <c r="J16" s="126">
        <f>'DFF - RSO budget'!AF37</f>
        <v>0</v>
      </c>
      <c r="K16" s="157">
        <f>'DFF - RSO budget'!J21+'DFF - RSO budget'!U21+'DFF - RSO budget'!AF21</f>
        <v>0</v>
      </c>
      <c r="L16" s="158">
        <f>'DFF - RSO budget'!J37+'DFF - RSO budget'!U37+'DFF - RSO budget'!AF37</f>
        <v>0</v>
      </c>
      <c r="M16" s="131"/>
    </row>
    <row r="17" spans="1:13" x14ac:dyDescent="0.2">
      <c r="A17" s="61" t="str">
        <f>'DFF - RSO budget'!B22</f>
        <v>Student assistent</v>
      </c>
      <c r="B17" s="156"/>
      <c r="C17" s="156"/>
      <c r="D17" s="156"/>
      <c r="E17" s="125">
        <f>ROUND(('DFF - RSO budget'!J22),0)</f>
        <v>0</v>
      </c>
      <c r="F17" s="84">
        <f>'DFF - RSO budget'!J38</f>
        <v>0</v>
      </c>
      <c r="G17" s="83">
        <f>'DFF - RSO budget'!U22</f>
        <v>0</v>
      </c>
      <c r="H17" s="84">
        <f>'DFF - RSO budget'!U38</f>
        <v>0</v>
      </c>
      <c r="I17" s="83">
        <f>'DFF - RSO budget'!AF22</f>
        <v>0</v>
      </c>
      <c r="J17" s="126">
        <f>'DFF - RSO budget'!AF38</f>
        <v>0</v>
      </c>
      <c r="K17" s="157">
        <f>'DFF - RSO budget'!J22+'DFF - RSO budget'!U22+'DFF - RSO budget'!AF22</f>
        <v>0</v>
      </c>
      <c r="L17" s="158">
        <f>'DFF - RSO budget'!J38+'DFF - RSO budget'!U38+'DFF - RSO budget'!AF38</f>
        <v>0</v>
      </c>
      <c r="M17" s="131"/>
    </row>
    <row r="18" spans="1:13" ht="16" thickBot="1" x14ac:dyDescent="0.25">
      <c r="A18" s="61">
        <f>'DFF - RSO budget'!B23</f>
        <v>0</v>
      </c>
      <c r="B18" s="156"/>
      <c r="C18" s="156"/>
      <c r="D18" s="156"/>
      <c r="E18" s="127">
        <f>ROUND(('DFF - RSO budget'!J23),0)</f>
        <v>0</v>
      </c>
      <c r="F18" s="128">
        <f>'DFF - RSO budget'!J39</f>
        <v>0</v>
      </c>
      <c r="G18" s="129">
        <f>'DFF - RSO budget'!U23</f>
        <v>0</v>
      </c>
      <c r="H18" s="128">
        <f>'DFF - RSO budget'!U39</f>
        <v>0</v>
      </c>
      <c r="I18" s="129">
        <f>'DFF - RSO budget'!AF23</f>
        <v>0</v>
      </c>
      <c r="J18" s="130">
        <f>'DFF - RSO budget'!AF39</f>
        <v>0</v>
      </c>
      <c r="K18" s="157">
        <f>'DFF - RSO budget'!J23+'DFF - RSO budget'!U23+'DFF - RSO budget'!AF23</f>
        <v>0</v>
      </c>
      <c r="L18" s="158">
        <f>'DFF - RSO budget'!J39+'DFF - RSO budget'!U39+'DFF - RSO budget'!AF39</f>
        <v>0</v>
      </c>
      <c r="M18" s="132"/>
    </row>
    <row r="20" spans="1:13" ht="16" thickBot="1" x14ac:dyDescent="0.25">
      <c r="A20" s="97" t="s">
        <v>68</v>
      </c>
    </row>
    <row r="21" spans="1:13" ht="31" thickBot="1" x14ac:dyDescent="0.25">
      <c r="A21" s="145" t="s">
        <v>47</v>
      </c>
      <c r="B21" s="146" t="s">
        <v>48</v>
      </c>
      <c r="C21" s="66" t="s">
        <v>38</v>
      </c>
      <c r="D21" s="67" t="s">
        <v>49</v>
      </c>
      <c r="E21" s="68" t="s">
        <v>42</v>
      </c>
      <c r="F21" s="65" t="s">
        <v>44</v>
      </c>
      <c r="G21" s="331" t="s">
        <v>50</v>
      </c>
      <c r="H21" s="331"/>
      <c r="I21" s="331"/>
      <c r="J21" s="331"/>
      <c r="K21" s="331"/>
      <c r="L21" s="332"/>
    </row>
    <row r="22" spans="1:13" x14ac:dyDescent="0.2">
      <c r="A22" s="147" t="s">
        <v>15</v>
      </c>
      <c r="B22" s="148"/>
      <c r="C22" s="149">
        <f>'DFF - RSO budget'!J43</f>
        <v>25000</v>
      </c>
      <c r="D22" s="149">
        <f>'DFF - RSO budget'!U43</f>
        <v>0</v>
      </c>
      <c r="E22" s="150">
        <f>'DFF - RSO budget'!AE43</f>
        <v>0</v>
      </c>
      <c r="F22" s="159">
        <f>'DFF - RSO budget'!J43+'DFF - RSO budget'!U43+'DFF - RSO budget'!AF43</f>
        <v>25000</v>
      </c>
      <c r="G22" s="333" t="str">
        <f>'DFF - RSO budget'!B43</f>
        <v xml:space="preserve">Computer </v>
      </c>
      <c r="H22" s="334"/>
      <c r="I22" s="334"/>
      <c r="J22" s="334"/>
      <c r="K22" s="334"/>
      <c r="L22" s="335"/>
      <c r="M22" t="s">
        <v>69</v>
      </c>
    </row>
    <row r="23" spans="1:13" x14ac:dyDescent="0.2">
      <c r="A23" s="133" t="s">
        <v>15</v>
      </c>
      <c r="B23" s="69"/>
      <c r="C23" s="70">
        <f>'DFF - RSO budget'!J44</f>
        <v>0</v>
      </c>
      <c r="D23" s="70">
        <f>'DFF - RSO budget'!U44</f>
        <v>0</v>
      </c>
      <c r="E23" s="134">
        <f>'DFF - RSO budget'!AE44</f>
        <v>0</v>
      </c>
      <c r="F23" s="159">
        <f>'DFF - RSO budget'!J44+'DFF - RSO budget'!U44+'DFF - RSO budget'!AF44</f>
        <v>0</v>
      </c>
      <c r="G23" s="328">
        <f>'DFF - RSO budget'!B44</f>
        <v>0</v>
      </c>
      <c r="H23" s="329"/>
      <c r="I23" s="329"/>
      <c r="J23" s="329"/>
      <c r="K23" s="329"/>
      <c r="L23" s="330"/>
    </row>
    <row r="24" spans="1:13" x14ac:dyDescent="0.2">
      <c r="A24" s="133" t="s">
        <v>15</v>
      </c>
      <c r="B24" s="69"/>
      <c r="C24" s="70">
        <f>'DFF - RSO budget'!J45</f>
        <v>0</v>
      </c>
      <c r="D24" s="70">
        <f>'DFF - RSO budget'!U45</f>
        <v>0</v>
      </c>
      <c r="E24" s="134">
        <f>'DFF - RSO budget'!AE45</f>
        <v>0</v>
      </c>
      <c r="F24" s="159">
        <f>'DFF - RSO budget'!J45+'DFF - RSO budget'!U45+'DFF - RSO budget'!AF45</f>
        <v>0</v>
      </c>
      <c r="G24" s="328">
        <f>'DFF - RSO budget'!B45</f>
        <v>0</v>
      </c>
      <c r="H24" s="329"/>
      <c r="I24" s="329"/>
      <c r="J24" s="329"/>
      <c r="K24" s="329"/>
      <c r="L24" s="330"/>
    </row>
    <row r="25" spans="1:13" x14ac:dyDescent="0.2">
      <c r="A25" s="133" t="s">
        <v>31</v>
      </c>
      <c r="B25" s="69"/>
      <c r="C25" s="70">
        <f>'DFF - RSO budget'!J48</f>
        <v>590000</v>
      </c>
      <c r="D25" s="70">
        <f>'DFF - RSO budget'!U48</f>
        <v>0</v>
      </c>
      <c r="E25" s="134">
        <f>'DFF - RSO budget'!AF48</f>
        <v>0</v>
      </c>
      <c r="F25" s="159">
        <f>'DFF - RSO budget'!J48+'DFF - RSO budget'!U48+'DFF - RSO budget'!AF48</f>
        <v>590000</v>
      </c>
      <c r="G25" s="328" t="str">
        <f>'DFF - RSO budget'!B48</f>
        <v>Sekventering at Human Genome Sequencing Center, Huston, Texas  (40 genomes a 13000 DDK)</v>
      </c>
      <c r="H25" s="329"/>
      <c r="I25" s="329"/>
      <c r="J25" s="329"/>
      <c r="K25" s="329"/>
      <c r="L25" s="330"/>
    </row>
    <row r="26" spans="1:13" x14ac:dyDescent="0.2">
      <c r="A26" s="133" t="s">
        <v>31</v>
      </c>
      <c r="B26" s="69"/>
      <c r="C26" s="70">
        <f>'DFF - RSO budget'!J49</f>
        <v>0</v>
      </c>
      <c r="D26" s="70">
        <f>'DFF - RSO budget'!U49</f>
        <v>0</v>
      </c>
      <c r="E26" s="134">
        <f>'DFF - RSO budget'!AF49</f>
        <v>0</v>
      </c>
      <c r="F26" s="159">
        <f>'DFF - RSO budget'!J49+'DFF - RSO budget'!U49+'DFF - RSO budget'!AF49</f>
        <v>0</v>
      </c>
      <c r="G26" s="328" t="str">
        <f>'DFF - RSO budget'!B49</f>
        <v>PhD Study fee 2+2 (Tuition fee)</v>
      </c>
      <c r="H26" s="329"/>
      <c r="I26" s="329"/>
      <c r="J26" s="329"/>
      <c r="K26" s="329"/>
      <c r="L26" s="330"/>
    </row>
    <row r="27" spans="1:13" x14ac:dyDescent="0.2">
      <c r="A27" s="133" t="s">
        <v>31</v>
      </c>
      <c r="B27" s="69"/>
      <c r="C27" s="70">
        <f>'DFF - RSO budget'!J50</f>
        <v>75000</v>
      </c>
      <c r="D27" s="70">
        <f>'DFF - RSO budget'!U50</f>
        <v>0</v>
      </c>
      <c r="E27" s="134">
        <f>'DFF - RSO budget'!AF50</f>
        <v>0</v>
      </c>
      <c r="F27" s="159">
        <f>'DFF - RSO budget'!J50+'DFF - RSO budget'!U50+'DFF - RSO budget'!AF50</f>
        <v>75000</v>
      </c>
      <c r="G27" s="328" t="str">
        <f>'DFF - RSO budget'!B50</f>
        <v>Conference participation..</v>
      </c>
      <c r="H27" s="329"/>
      <c r="I27" s="329"/>
      <c r="J27" s="329"/>
      <c r="K27" s="329"/>
      <c r="L27" s="330"/>
    </row>
    <row r="28" spans="1:13" x14ac:dyDescent="0.2">
      <c r="A28" s="133" t="s">
        <v>31</v>
      </c>
      <c r="B28" s="69"/>
      <c r="C28" s="70">
        <f>'DFF - RSO budget'!J52</f>
        <v>30000</v>
      </c>
      <c r="D28" s="70">
        <f>'DFF - RSO budget'!U52</f>
        <v>0</v>
      </c>
      <c r="E28" s="134">
        <f>'DFF - RSO budget'!AF52</f>
        <v>0</v>
      </c>
      <c r="F28" s="159">
        <f>'DFF - RSO budget'!J52+'DFF - RSO budget'!U52+'DFF - RSO budget'!AF52</f>
        <v>30000</v>
      </c>
      <c r="G28" s="328" t="str">
        <f>'DFF - RSO budget'!B52</f>
        <v xml:space="preserve">Consumables. Software licenses, books, </v>
      </c>
      <c r="H28" s="329"/>
      <c r="I28" s="329"/>
      <c r="J28" s="329"/>
      <c r="K28" s="329"/>
      <c r="L28" s="330"/>
    </row>
    <row r="29" spans="1:13" x14ac:dyDescent="0.2">
      <c r="A29" s="133" t="s">
        <v>31</v>
      </c>
      <c r="B29" s="69"/>
      <c r="C29" s="70">
        <f>'DFF - RSO budget'!J53</f>
        <v>240000</v>
      </c>
      <c r="D29" s="70">
        <f>'DFF - RSO budget'!U53</f>
        <v>0</v>
      </c>
      <c r="E29" s="134">
        <f>'DFF - RSO budget'!AF53</f>
        <v>0</v>
      </c>
      <c r="F29" s="159">
        <f>'DFF - RSO budget'!J53+'DFF - RSO budget'!U53+'DFF - RSO budget'!AF53</f>
        <v>240000</v>
      </c>
      <c r="G29" s="328" t="str">
        <f>'DFF - RSO budget'!B53</f>
        <v>Phd Study fee 3-year (Tuition fee)</v>
      </c>
      <c r="H29" s="329"/>
      <c r="I29" s="329"/>
      <c r="J29" s="329"/>
      <c r="K29" s="329"/>
      <c r="L29" s="330"/>
      <c r="M29" t="s">
        <v>61</v>
      </c>
    </row>
    <row r="30" spans="1:13" x14ac:dyDescent="0.2">
      <c r="A30" s="133" t="s">
        <v>31</v>
      </c>
      <c r="B30" s="69"/>
      <c r="C30" s="70">
        <f>'DFF - RSO budget'!J54</f>
        <v>50000</v>
      </c>
      <c r="D30" s="70">
        <f>'DFF - RSO budget'!U54</f>
        <v>0</v>
      </c>
      <c r="E30" s="134">
        <f>'DFF - RSO budget'!AF54</f>
        <v>0</v>
      </c>
      <c r="F30" s="159">
        <f>'DFF - RSO budget'!J54+'DFF - RSO budget'!U54+'DFF - RSO budget'!AF54</f>
        <v>50000</v>
      </c>
      <c r="G30" s="328" t="str">
        <f>'DFF - RSO budget'!B54</f>
        <v>Publication costs</v>
      </c>
      <c r="H30" s="329"/>
      <c r="I30" s="329"/>
      <c r="J30" s="329"/>
      <c r="K30" s="329"/>
      <c r="L30" s="330"/>
    </row>
    <row r="31" spans="1:13" x14ac:dyDescent="0.2">
      <c r="A31" s="133" t="s">
        <v>31</v>
      </c>
      <c r="B31" s="69"/>
      <c r="C31" s="70">
        <f>'DFF - RSO budget'!J55</f>
        <v>25000</v>
      </c>
      <c r="D31" s="70">
        <f>'DFF - RSO budget'!U55</f>
        <v>0</v>
      </c>
      <c r="E31" s="134">
        <f>'DFF - RSO budget'!AF55</f>
        <v>0</v>
      </c>
      <c r="F31" s="159">
        <f>'DFF - RSO budget'!J55+'DFF - RSO budget'!U55+'DFF - RSO budget'!AF55</f>
        <v>25000</v>
      </c>
      <c r="G31" s="328" t="str">
        <f>'DFF - RSO budget'!B55</f>
        <v>Travel</v>
      </c>
      <c r="H31" s="329"/>
      <c r="I31" s="329"/>
      <c r="J31" s="329"/>
      <c r="K31" s="329"/>
      <c r="L31" s="330"/>
    </row>
    <row r="32" spans="1:13" x14ac:dyDescent="0.2">
      <c r="A32" s="133" t="s">
        <v>31</v>
      </c>
      <c r="B32" s="69"/>
      <c r="C32" s="70">
        <f>'DFF - RSO budget'!J56</f>
        <v>0</v>
      </c>
      <c r="D32" s="70">
        <f>'DFF - RSO budget'!U56</f>
        <v>0</v>
      </c>
      <c r="E32" s="134">
        <f>'DFF - RSO budget'!AF56</f>
        <v>0</v>
      </c>
      <c r="F32" s="159">
        <f>'DFF - RSO budget'!J56+'DFF - RSO budget'!U56+'DFF - RSO budget'!AF56</f>
        <v>0</v>
      </c>
      <c r="G32" s="328">
        <f>'DFF - RSO budget'!B56</f>
        <v>0</v>
      </c>
      <c r="H32" s="329"/>
      <c r="I32" s="329"/>
      <c r="J32" s="329"/>
      <c r="K32" s="329"/>
      <c r="L32" s="330"/>
    </row>
    <row r="33" spans="1:12" x14ac:dyDescent="0.2">
      <c r="A33" s="133" t="s">
        <v>31</v>
      </c>
      <c r="B33" s="69"/>
      <c r="C33" s="70">
        <f>'DFF - RSO budget'!J57</f>
        <v>0</v>
      </c>
      <c r="D33" s="70">
        <f>'DFF - RSO budget'!U57</f>
        <v>0</v>
      </c>
      <c r="E33" s="134">
        <f>'DFF - RSO budget'!AF57</f>
        <v>0</v>
      </c>
      <c r="F33" s="159">
        <f>'DFF - RSO budget'!J57+'DFF - RSO budget'!U57+'DFF - RSO budget'!AF57</f>
        <v>0</v>
      </c>
      <c r="G33" s="328">
        <f>'DFF - RSO budget'!B57</f>
        <v>0</v>
      </c>
      <c r="H33" s="329"/>
      <c r="I33" s="329"/>
      <c r="J33" s="329"/>
      <c r="K33" s="329"/>
      <c r="L33" s="330"/>
    </row>
    <row r="34" spans="1:12" x14ac:dyDescent="0.2">
      <c r="A34" s="133" t="s">
        <v>31</v>
      </c>
      <c r="B34" s="69"/>
      <c r="C34" s="70">
        <f>'DFF - RSO budget'!J58</f>
        <v>0</v>
      </c>
      <c r="D34" s="70">
        <f>'DFF - RSO budget'!U58</f>
        <v>0</v>
      </c>
      <c r="E34" s="134">
        <f>'DFF - RSO budget'!AF58</f>
        <v>0</v>
      </c>
      <c r="F34" s="159">
        <f>'DFF - RSO budget'!J58+'DFF - RSO budget'!U58+'DFF - RSO budget'!AF58</f>
        <v>0</v>
      </c>
      <c r="G34" s="328">
        <f>'DFF - RSO budget'!B58</f>
        <v>0</v>
      </c>
      <c r="H34" s="329"/>
      <c r="I34" s="329"/>
      <c r="J34" s="329"/>
      <c r="K34" s="329"/>
      <c r="L34" s="330"/>
    </row>
    <row r="35" spans="1:12" x14ac:dyDescent="0.2">
      <c r="A35" s="133" t="s">
        <v>31</v>
      </c>
      <c r="B35" s="69"/>
      <c r="C35" s="70">
        <f>'DFF - RSO budget'!J59</f>
        <v>0</v>
      </c>
      <c r="D35" s="70">
        <f>'DFF - RSO budget'!U59</f>
        <v>0</v>
      </c>
      <c r="E35" s="134">
        <f>'DFF - RSO budget'!AF59</f>
        <v>0</v>
      </c>
      <c r="F35" s="159">
        <f>'DFF - RSO budget'!J59+'DFF - RSO budget'!U59+'DFF - RSO budget'!AF59</f>
        <v>0</v>
      </c>
      <c r="G35" s="328">
        <f>'DFF - RSO budget'!B59</f>
        <v>0</v>
      </c>
      <c r="H35" s="329"/>
      <c r="I35" s="329"/>
      <c r="J35" s="329"/>
      <c r="K35" s="329"/>
      <c r="L35" s="330"/>
    </row>
    <row r="36" spans="1:12" x14ac:dyDescent="0.2">
      <c r="A36" s="133" t="s">
        <v>31</v>
      </c>
      <c r="B36" s="69"/>
      <c r="C36" s="70">
        <f>'DFF - RSO budget'!J60</f>
        <v>0</v>
      </c>
      <c r="D36" s="70">
        <f>'DFF - RSO budget'!U60</f>
        <v>0</v>
      </c>
      <c r="E36" s="134">
        <f>'DFF - RSO budget'!AF60</f>
        <v>0</v>
      </c>
      <c r="F36" s="159">
        <f>'DFF - RSO budget'!J60+'DFF - RSO budget'!U60+'DFF - RSO budget'!AF60</f>
        <v>0</v>
      </c>
      <c r="G36" s="328">
        <f>'DFF - RSO budget'!B60</f>
        <v>0</v>
      </c>
      <c r="H36" s="329"/>
      <c r="I36" s="329"/>
      <c r="J36" s="329"/>
      <c r="K36" s="329"/>
      <c r="L36" s="330"/>
    </row>
    <row r="37" spans="1:12" ht="16" thickBot="1" x14ac:dyDescent="0.25">
      <c r="A37" s="135" t="s">
        <v>31</v>
      </c>
      <c r="B37" s="136"/>
      <c r="C37" s="137">
        <f>'DFF - RSO budget'!J61</f>
        <v>0</v>
      </c>
      <c r="D37" s="137">
        <f>'DFF - RSO budget'!U61</f>
        <v>0</v>
      </c>
      <c r="E37" s="138">
        <f>'DFF - RSO budget'!AF61</f>
        <v>0</v>
      </c>
      <c r="F37" s="159">
        <f>'DFF - RSO budget'!J61+'DFF - RSO budget'!U61+'DFF - RSO budget'!AF61</f>
        <v>0</v>
      </c>
      <c r="G37" s="336">
        <f>'DFF - RSO budget'!B61</f>
        <v>0</v>
      </c>
      <c r="H37" s="337"/>
      <c r="I37" s="337"/>
      <c r="J37" s="337"/>
      <c r="K37" s="337"/>
      <c r="L37" s="338"/>
    </row>
    <row r="39" spans="1:12" ht="16" thickBot="1" x14ac:dyDescent="0.25">
      <c r="C39" s="123" t="s">
        <v>76</v>
      </c>
      <c r="K39" t="s">
        <v>74</v>
      </c>
    </row>
    <row r="40" spans="1:12" ht="18.75" customHeight="1" thickBot="1" x14ac:dyDescent="0.25">
      <c r="A40" s="97" t="s">
        <v>67</v>
      </c>
      <c r="B40" s="98"/>
      <c r="C40" s="98"/>
      <c r="D40" s="98"/>
      <c r="E40" s="98"/>
      <c r="F40" s="98"/>
      <c r="G40" s="98"/>
      <c r="H40" s="98"/>
      <c r="I40" s="99"/>
      <c r="L40" s="160">
        <f>B80</f>
        <v>2412624.6168076801</v>
      </c>
    </row>
    <row r="41" spans="1:12" ht="16" thickBot="1" x14ac:dyDescent="0.25">
      <c r="A41" s="100" t="s">
        <v>51</v>
      </c>
      <c r="B41" s="71" t="s">
        <v>0</v>
      </c>
      <c r="C41" s="139">
        <v>2018</v>
      </c>
      <c r="D41" s="139">
        <v>2019</v>
      </c>
      <c r="E41" s="139">
        <v>2020</v>
      </c>
      <c r="F41" s="139">
        <v>2021</v>
      </c>
      <c r="G41" s="139">
        <v>2022</v>
      </c>
      <c r="H41" s="139">
        <v>2023</v>
      </c>
      <c r="I41" s="101"/>
    </row>
    <row r="42" spans="1:12" x14ac:dyDescent="0.2">
      <c r="A42" s="102" t="s">
        <v>52</v>
      </c>
      <c r="B42" s="180"/>
      <c r="C42" s="181">
        <f>'DFF - RSO budget'!D26</f>
        <v>0</v>
      </c>
      <c r="D42" s="182">
        <f>'DFF - RSO budget'!E26</f>
        <v>408927.13919999998</v>
      </c>
      <c r="E42" s="182">
        <f>'DFF - RSO budget'!F26</f>
        <v>417105.68198399991</v>
      </c>
      <c r="F42" s="182">
        <f>'DFF - RSO budget'!G26</f>
        <v>425447.79562367999</v>
      </c>
      <c r="G42" s="182">
        <f>'DFF - RSO budget'!H26</f>
        <v>0</v>
      </c>
      <c r="H42" s="183">
        <f>'DFF - RSO budget'!I26</f>
        <v>0</v>
      </c>
      <c r="I42" s="101"/>
    </row>
    <row r="43" spans="1:12" x14ac:dyDescent="0.2">
      <c r="A43" s="102" t="s">
        <v>53</v>
      </c>
      <c r="B43" s="180"/>
      <c r="C43" s="184">
        <f>'DFF - RSO budget'!D36</f>
        <v>0</v>
      </c>
      <c r="D43" s="185">
        <f>'DFF - RSO budget'!E36</f>
        <v>0</v>
      </c>
      <c r="E43" s="185">
        <f>'DFF - RSO budget'!F36</f>
        <v>0</v>
      </c>
      <c r="F43" s="185">
        <f>'DFF - RSO budget'!G36</f>
        <v>0</v>
      </c>
      <c r="G43" s="185">
        <f>'DFF - RSO budget'!H36</f>
        <v>0</v>
      </c>
      <c r="H43" s="186">
        <f>'DFF - RSO budget'!I36</f>
        <v>0</v>
      </c>
      <c r="I43" s="101"/>
    </row>
    <row r="44" spans="1:12" x14ac:dyDescent="0.2">
      <c r="A44" s="102" t="s">
        <v>54</v>
      </c>
      <c r="B44" s="180"/>
      <c r="C44" s="184">
        <f>'DFF - RSO budget'!D46</f>
        <v>0</v>
      </c>
      <c r="D44" s="185">
        <f>'DFF - RSO budget'!E46</f>
        <v>25000</v>
      </c>
      <c r="E44" s="185">
        <f>'DFF - RSO budget'!F46</f>
        <v>0</v>
      </c>
      <c r="F44" s="185">
        <f>'DFF - RSO budget'!G46</f>
        <v>0</v>
      </c>
      <c r="G44" s="185">
        <f>'DFF - RSO budget'!H46</f>
        <v>0</v>
      </c>
      <c r="H44" s="186">
        <f>'DFF - RSO budget'!I46</f>
        <v>0</v>
      </c>
      <c r="I44" s="101"/>
    </row>
    <row r="45" spans="1:12" ht="16" thickBot="1" x14ac:dyDescent="0.25">
      <c r="A45" s="102" t="s">
        <v>31</v>
      </c>
      <c r="B45" s="180"/>
      <c r="C45" s="187">
        <f>'DFF - RSO budget'!D62</f>
        <v>0</v>
      </c>
      <c r="D45" s="188">
        <f>'DFF - RSO budget'!E62</f>
        <v>482048</v>
      </c>
      <c r="E45" s="188">
        <f>'DFF - RSO budget'!F62</f>
        <v>472048</v>
      </c>
      <c r="F45" s="188">
        <f>'DFF - RSO budget'!G62</f>
        <v>182048</v>
      </c>
      <c r="G45" s="188">
        <f>'DFF - RSO budget'!H62</f>
        <v>0</v>
      </c>
      <c r="H45" s="189">
        <f>'DFF - RSO budget'!I62</f>
        <v>0</v>
      </c>
      <c r="I45" s="101"/>
    </row>
    <row r="46" spans="1:12" x14ac:dyDescent="0.2">
      <c r="A46" s="103" t="s">
        <v>55</v>
      </c>
      <c r="B46" s="190"/>
      <c r="C46" s="191"/>
      <c r="D46" s="191"/>
      <c r="E46" s="191"/>
      <c r="F46" s="191"/>
      <c r="G46" s="191"/>
      <c r="H46" s="192"/>
      <c r="I46" s="101"/>
    </row>
    <row r="47" spans="1:12" x14ac:dyDescent="0.2">
      <c r="A47" s="102" t="s">
        <v>56</v>
      </c>
      <c r="B47" s="164"/>
      <c r="C47" s="164"/>
      <c r="D47" s="164"/>
      <c r="E47" s="164"/>
      <c r="F47" s="164"/>
      <c r="G47" s="164"/>
      <c r="H47" s="193"/>
      <c r="I47" s="101"/>
    </row>
    <row r="48" spans="1:12" ht="16" thickBot="1" x14ac:dyDescent="0.25">
      <c r="A48" s="104" t="s">
        <v>57</v>
      </c>
      <c r="B48" s="194"/>
      <c r="C48" s="195"/>
      <c r="D48" s="195"/>
      <c r="E48" s="195"/>
      <c r="F48" s="195"/>
      <c r="G48" s="195"/>
      <c r="H48" s="196"/>
      <c r="I48" s="101"/>
    </row>
    <row r="49" spans="1:11" ht="16" thickBot="1" x14ac:dyDescent="0.25">
      <c r="A49" s="105"/>
      <c r="B49" s="106"/>
      <c r="C49" s="106"/>
      <c r="D49" s="106"/>
      <c r="E49" s="106"/>
      <c r="F49" s="106"/>
      <c r="G49" s="106"/>
      <c r="H49" s="106"/>
      <c r="I49" s="101"/>
    </row>
    <row r="50" spans="1:11" ht="16" thickBot="1" x14ac:dyDescent="0.25">
      <c r="A50" s="107" t="s">
        <v>58</v>
      </c>
      <c r="B50" s="73" t="s">
        <v>0</v>
      </c>
      <c r="C50" s="151">
        <v>2018</v>
      </c>
      <c r="D50" s="151">
        <v>2019</v>
      </c>
      <c r="E50" s="151">
        <v>2020</v>
      </c>
      <c r="F50" s="151">
        <v>2021</v>
      </c>
      <c r="G50" s="151">
        <v>2022</v>
      </c>
      <c r="H50" s="151">
        <v>2023</v>
      </c>
      <c r="I50" s="101"/>
    </row>
    <row r="51" spans="1:11" x14ac:dyDescent="0.2">
      <c r="A51" s="102" t="s">
        <v>52</v>
      </c>
      <c r="B51" s="197"/>
      <c r="C51" s="181">
        <f>'DFF - RSO budget'!O26</f>
        <v>56778.3</v>
      </c>
      <c r="D51" s="182">
        <f>'DFF - RSO budget'!P26</f>
        <v>115827.732</v>
      </c>
      <c r="E51" s="182">
        <f>'DFF - RSO budget'!Q26</f>
        <v>118144.28663999999</v>
      </c>
      <c r="F51" s="182">
        <f>'DFF - RSO budget'!R26</f>
        <v>120507.17237279999</v>
      </c>
      <c r="G51" s="182">
        <f>'DFF - RSO budget'!S26</f>
        <v>122917.315820256</v>
      </c>
      <c r="H51" s="183">
        <f>'DFF - RSO budget'!T26</f>
        <v>0</v>
      </c>
      <c r="I51" s="101"/>
      <c r="K51" t="s">
        <v>62</v>
      </c>
    </row>
    <row r="52" spans="1:11" x14ac:dyDescent="0.2">
      <c r="A52" s="102" t="s">
        <v>53</v>
      </c>
      <c r="B52" s="197"/>
      <c r="C52" s="184">
        <f>'DFF - RSO budget'!O36</f>
        <v>0</v>
      </c>
      <c r="D52" s="185">
        <f>'DFF - RSO budget'!P36</f>
        <v>0</v>
      </c>
      <c r="E52" s="185">
        <f>'DFF - RSO budget'!Q36</f>
        <v>0</v>
      </c>
      <c r="F52" s="185">
        <f>'DFF - RSO budget'!R36</f>
        <v>0</v>
      </c>
      <c r="G52" s="185">
        <f>'DFF - RSO budget'!S36</f>
        <v>0</v>
      </c>
      <c r="H52" s="186">
        <f>'DFF - RSO budget'!T36</f>
        <v>0</v>
      </c>
      <c r="I52" s="101"/>
    </row>
    <row r="53" spans="1:11" x14ac:dyDescent="0.2">
      <c r="A53" s="102" t="s">
        <v>54</v>
      </c>
      <c r="B53" s="197"/>
      <c r="C53" s="184">
        <f>'DFF - RSO budget'!O46</f>
        <v>0</v>
      </c>
      <c r="D53" s="185">
        <f>'DFF - RSO budget'!P46</f>
        <v>0</v>
      </c>
      <c r="E53" s="185">
        <f>'DFF - RSO budget'!Q46</f>
        <v>0</v>
      </c>
      <c r="F53" s="185">
        <f>'DFF - RSO budget'!R46</f>
        <v>0</v>
      </c>
      <c r="G53" s="185">
        <f>'DFF - RSO budget'!S46</f>
        <v>0</v>
      </c>
      <c r="H53" s="186">
        <f>'DFF - RSO budget'!T46</f>
        <v>0</v>
      </c>
      <c r="I53" s="101"/>
    </row>
    <row r="54" spans="1:11" ht="16" thickBot="1" x14ac:dyDescent="0.25">
      <c r="A54" s="102" t="s">
        <v>31</v>
      </c>
      <c r="B54" s="197"/>
      <c r="C54" s="187">
        <f>'DFF - RSO budget'!O62</f>
        <v>0</v>
      </c>
      <c r="D54" s="188">
        <f>'DFF - RSO budget'!P62</f>
        <v>0</v>
      </c>
      <c r="E54" s="188">
        <f>'DFF - RSO budget'!Q62</f>
        <v>0</v>
      </c>
      <c r="F54" s="188">
        <f>'DFF - RSO budget'!R62</f>
        <v>0</v>
      </c>
      <c r="G54" s="188">
        <f>'DFF - RSO budget'!S62</f>
        <v>0</v>
      </c>
      <c r="H54" s="189">
        <f>'DFF - RSO budget'!T62</f>
        <v>0</v>
      </c>
      <c r="I54" s="101"/>
    </row>
    <row r="55" spans="1:11" ht="16" thickBot="1" x14ac:dyDescent="0.25">
      <c r="A55" s="108" t="s">
        <v>59</v>
      </c>
      <c r="B55" s="198"/>
      <c r="C55" s="199"/>
      <c r="D55" s="199"/>
      <c r="E55" s="199"/>
      <c r="F55" s="199"/>
      <c r="G55" s="199"/>
      <c r="H55" s="200"/>
      <c r="I55" s="101"/>
    </row>
    <row r="56" spans="1:11" ht="16" thickBot="1" x14ac:dyDescent="0.25">
      <c r="A56" s="105"/>
      <c r="B56" s="106"/>
      <c r="C56" s="106"/>
      <c r="D56" s="106"/>
      <c r="E56" s="106"/>
      <c r="F56" s="106"/>
      <c r="G56" s="106"/>
      <c r="H56" s="106"/>
      <c r="I56" s="101"/>
    </row>
    <row r="57" spans="1:11" ht="16" thickBot="1" x14ac:dyDescent="0.25">
      <c r="A57" s="109" t="s">
        <v>7</v>
      </c>
      <c r="B57" s="75" t="s">
        <v>0</v>
      </c>
      <c r="C57" s="152">
        <v>2018</v>
      </c>
      <c r="D57" s="152">
        <v>2019</v>
      </c>
      <c r="E57" s="152">
        <v>2020</v>
      </c>
      <c r="F57" s="152">
        <v>2021</v>
      </c>
      <c r="G57" s="152">
        <v>2022</v>
      </c>
      <c r="H57" s="152">
        <v>2023</v>
      </c>
      <c r="I57" s="101"/>
    </row>
    <row r="58" spans="1:11" x14ac:dyDescent="0.2">
      <c r="A58" s="102" t="s">
        <v>52</v>
      </c>
      <c r="B58" s="197"/>
      <c r="C58" s="181">
        <f>'DFF - RSO budget'!Z26</f>
        <v>0</v>
      </c>
      <c r="D58" s="182">
        <f>'DFF - RSO budget'!AA26</f>
        <v>0</v>
      </c>
      <c r="E58" s="182">
        <f>'DFF - RSO budget'!AB26</f>
        <v>0</v>
      </c>
      <c r="F58" s="182">
        <f>'DFF - RSO budget'!AC26</f>
        <v>0</v>
      </c>
      <c r="G58" s="182">
        <f>'DFF - RSO budget'!AD26</f>
        <v>0</v>
      </c>
      <c r="H58" s="183">
        <f>'DFF - RSO budget'!AE26</f>
        <v>0</v>
      </c>
      <c r="I58" s="101"/>
    </row>
    <row r="59" spans="1:11" x14ac:dyDescent="0.2">
      <c r="A59" s="102" t="s">
        <v>53</v>
      </c>
      <c r="B59" s="197"/>
      <c r="C59" s="184">
        <f>'DFF - RSO budget'!Z36</f>
        <v>0</v>
      </c>
      <c r="D59" s="185">
        <f>'DFF - RSO budget'!AA36</f>
        <v>0</v>
      </c>
      <c r="E59" s="185">
        <f>'DFF - RSO budget'!AB36</f>
        <v>0</v>
      </c>
      <c r="F59" s="185">
        <f>'DFF - RSO budget'!AC36</f>
        <v>0</v>
      </c>
      <c r="G59" s="185">
        <f>'DFF - RSO budget'!AD36</f>
        <v>0</v>
      </c>
      <c r="H59" s="186">
        <f>'DFF - RSO budget'!AE36</f>
        <v>0</v>
      </c>
      <c r="I59" s="101"/>
    </row>
    <row r="60" spans="1:11" x14ac:dyDescent="0.2">
      <c r="A60" s="102" t="s">
        <v>54</v>
      </c>
      <c r="B60" s="197"/>
      <c r="C60" s="184">
        <f>'DFF - RSO budget'!Z46</f>
        <v>0</v>
      </c>
      <c r="D60" s="185">
        <f>'DFF - RSO budget'!AA46</f>
        <v>0</v>
      </c>
      <c r="E60" s="185">
        <f>'DFF - RSO budget'!AB46</f>
        <v>0</v>
      </c>
      <c r="F60" s="185">
        <f>'DFF - RSO budget'!AC46</f>
        <v>0</v>
      </c>
      <c r="G60" s="185">
        <f>'DFF - RSO budget'!AD46</f>
        <v>0</v>
      </c>
      <c r="H60" s="186">
        <f>'DFF - RSO budget'!AE46</f>
        <v>0</v>
      </c>
      <c r="I60" s="101"/>
    </row>
    <row r="61" spans="1:11" ht="16" thickBot="1" x14ac:dyDescent="0.25">
      <c r="A61" s="102" t="s">
        <v>31</v>
      </c>
      <c r="B61" s="197"/>
      <c r="C61" s="187">
        <f>'DFF - RSO budget'!Z62</f>
        <v>0</v>
      </c>
      <c r="D61" s="188">
        <f>'DFF - RSO budget'!AA62</f>
        <v>0</v>
      </c>
      <c r="E61" s="188">
        <f>'DFF - RSO budget'!AB62</f>
        <v>0</v>
      </c>
      <c r="F61" s="188">
        <f>'DFF - RSO budget'!AC62</f>
        <v>0</v>
      </c>
      <c r="G61" s="188">
        <f>'DFF - RSO budget'!AD62</f>
        <v>0</v>
      </c>
      <c r="H61" s="189">
        <f>'DFF - RSO budget'!AE62</f>
        <v>0</v>
      </c>
      <c r="I61" s="101"/>
    </row>
    <row r="62" spans="1:11" ht="16" thickBot="1" x14ac:dyDescent="0.25">
      <c r="A62" s="110" t="s">
        <v>60</v>
      </c>
      <c r="B62" s="201"/>
      <c r="C62" s="202"/>
      <c r="D62" s="202"/>
      <c r="E62" s="202"/>
      <c r="F62" s="202"/>
      <c r="G62" s="202"/>
      <c r="H62" s="203"/>
      <c r="I62" s="101"/>
    </row>
    <row r="63" spans="1:11" x14ac:dyDescent="0.2">
      <c r="A63" s="111"/>
      <c r="B63" s="112"/>
      <c r="C63" s="112"/>
      <c r="D63" s="112"/>
      <c r="E63" s="112"/>
      <c r="F63" s="112"/>
      <c r="G63" s="112"/>
      <c r="H63" s="112"/>
      <c r="I63" s="113"/>
    </row>
    <row r="64" spans="1:11" x14ac:dyDescent="0.2">
      <c r="A64" s="98"/>
      <c r="B64" s="98"/>
      <c r="C64" s="98"/>
      <c r="D64" s="98"/>
      <c r="E64" s="98"/>
      <c r="F64" s="98"/>
      <c r="G64" s="98"/>
      <c r="H64" s="98"/>
    </row>
    <row r="65" spans="1:10" x14ac:dyDescent="0.2">
      <c r="A65" s="115"/>
      <c r="B65" s="115"/>
      <c r="C65" s="115"/>
      <c r="D65" s="115"/>
      <c r="E65" s="115"/>
      <c r="F65" s="115"/>
      <c r="G65" s="115"/>
      <c r="H65" s="115"/>
    </row>
    <row r="66" spans="1:10" ht="16" thickBot="1" x14ac:dyDescent="0.25">
      <c r="A66" s="97" t="s">
        <v>77</v>
      </c>
      <c r="B66" s="98"/>
      <c r="C66" s="98"/>
      <c r="D66" s="98"/>
      <c r="E66" s="98"/>
      <c r="F66" s="98"/>
      <c r="G66" s="98"/>
      <c r="H66" s="98"/>
      <c r="I66" s="99"/>
    </row>
    <row r="67" spans="1:10" ht="16" x14ac:dyDescent="0.2">
      <c r="A67" s="119" t="s">
        <v>63</v>
      </c>
      <c r="B67" s="116" t="s">
        <v>0</v>
      </c>
      <c r="C67" s="117">
        <v>2018</v>
      </c>
      <c r="D67" s="118">
        <v>2019</v>
      </c>
      <c r="E67" s="117">
        <v>2020</v>
      </c>
      <c r="F67" s="118">
        <v>2021</v>
      </c>
      <c r="G67" s="117">
        <v>2022</v>
      </c>
      <c r="H67" s="118">
        <v>2023</v>
      </c>
      <c r="I67" s="101"/>
    </row>
    <row r="68" spans="1:10" x14ac:dyDescent="0.2">
      <c r="A68" s="120" t="s">
        <v>52</v>
      </c>
      <c r="B68" s="175"/>
      <c r="C68" s="176">
        <f>'DFF - RSO budget'!D26+'DFF - RSO budget'!D90+'DFF - RSO budget'!D153+'DFF - RSO budget'!D216+'DFF - RSO budget'!D279+'DFF - RSO budget'!O26+'DFF - RSO budget'!O90+'DFF - RSO budget'!O153+'DFF - RSO budget'!O216+'DFF - RSO budget'!O279+'DFF - RSO budget'!Z26+'DFF - RSO budget'!Z90+'DFF - RSO budget'!Z153+'DFF - RSO budget'!Z216+'DFF - RSO budget'!Z279</f>
        <v>56778.3</v>
      </c>
      <c r="D68" s="176">
        <f>'DFF - RSO budget'!E26+'DFF - RSO budget'!E90+'DFF - RSO budget'!E153+'DFF - RSO budget'!E216+'DFF - RSO budget'!E279+'DFF - RSO budget'!P26+'DFF - RSO budget'!P90+'DFF - RSO budget'!P153+'DFF - RSO budget'!P216+'DFF - RSO budget'!P279+'DFF - RSO budget'!AA26+'DFF - RSO budget'!AA90+'DFF - RSO budget'!AA153+'DFF - RSO budget'!AA216+'DFF - RSO budget'!AA279</f>
        <v>524754.87119999994</v>
      </c>
      <c r="E68" s="176">
        <f>'DFF - RSO budget'!F26+'DFF - RSO budget'!F90+'DFF - RSO budget'!F153+'DFF - RSO budget'!F216+'DFF - RSO budget'!F279+'DFF - RSO budget'!Q26+'DFF - RSO budget'!Q90+'DFF - RSO budget'!Q153+'DFF - RSO budget'!Q216+'DFF - RSO budget'!Q279+'DFF - RSO budget'!AB26+'DFF - RSO budget'!AB90+'DFF - RSO budget'!AB153+'DFF - RSO budget'!AB216+'DFF - RSO budget'!AB279</f>
        <v>535249.96862399986</v>
      </c>
      <c r="F68" s="176">
        <f>'DFF - RSO budget'!G26+'DFF - RSO budget'!G90+'DFF - RSO budget'!G153+'DFF - RSO budget'!G216+'DFF - RSO budget'!G279+'DFF - RSO budget'!R26+'DFF - RSO budget'!R90+'DFF - RSO budget'!R153+'DFF - RSO budget'!R216+'DFF - RSO budget'!R279+'DFF - RSO budget'!AC26+'DFF - RSO budget'!AC90+'DFF - RSO budget'!AC153+'DFF - RSO budget'!AC216+'DFF - RSO budget'!AC279</f>
        <v>545954.96799647994</v>
      </c>
      <c r="G68" s="176">
        <f>'DFF - RSO budget'!H26+'DFF - RSO budget'!H90+'DFF - RSO budget'!H153+'DFF - RSO budget'!H216+'DFF - RSO budget'!H279+'DFF - RSO budget'!S26+'DFF - RSO budget'!S90+'DFF - RSO budget'!S153+'DFF - RSO budget'!S216+'DFF - RSO budget'!S279+'DFF - RSO budget'!AD26+'DFF - RSO budget'!AD90+'DFF - RSO budget'!AD153+'DFF - RSO budget'!AD216+'DFF - RSO budget'!AD279</f>
        <v>122917.315820256</v>
      </c>
      <c r="H68" s="176">
        <f>'DFF - RSO budget'!I26+'DFF - RSO budget'!I90+'DFF - RSO budget'!I153+'DFF - RSO budget'!I216+'DFF - RSO budget'!I279+'DFF - RSO budget'!T26+'DFF - RSO budget'!T90+'DFF - RSO budget'!T153+'DFF - RSO budget'!T216+'DFF - RSO budget'!T279+'DFF - RSO budget'!AE26+'DFF - RSO budget'!AE90+'DFF - RSO budget'!AE153+'DFF - RSO budget'!AE216+'DFF - RSO budget'!AE279</f>
        <v>0</v>
      </c>
      <c r="I68" s="101"/>
    </row>
    <row r="69" spans="1:10" x14ac:dyDescent="0.2">
      <c r="A69" s="120" t="s">
        <v>53</v>
      </c>
      <c r="B69" s="175"/>
      <c r="C69" s="176">
        <f>'DFF - RSO budget'!D36+'DFF - RSO budget'!D100+'DFF - RSO budget'!D163+'DFF - RSO budget'!D226+'DFF - RSO budget'!D289+'DFF - RSO budget'!O36+'DFF - RSO budget'!O100+'DFF - RSO budget'!O163+'DFF - RSO budget'!O226+'DFF - RSO budget'!O289+'DFF - RSO budget'!Z36+'DFF - RSO budget'!Z100+'DFF - RSO budget'!Z163+'DFF - RSO budget'!Z226+'DFF - RSO budget'!Z289</f>
        <v>0</v>
      </c>
      <c r="D69" s="176">
        <f>'DFF - RSO budget'!E36+'DFF - RSO budget'!E100+'DFF - RSO budget'!E163+'DFF - RSO budget'!E226+'DFF - RSO budget'!E289+'DFF - RSO budget'!P36+'DFF - RSO budget'!P100+'DFF - RSO budget'!P163+'DFF - RSO budget'!P226+'DFF - RSO budget'!P289+'DFF - RSO budget'!AA36+'DFF - RSO budget'!AA100+'DFF - RSO budget'!AA163+'DFF - RSO budget'!AA226+'DFF - RSO budget'!AA289</f>
        <v>0</v>
      </c>
      <c r="E69" s="176">
        <f>'DFF - RSO budget'!F36+'DFF - RSO budget'!F100+'DFF - RSO budget'!F163+'DFF - RSO budget'!F226+'DFF - RSO budget'!F289+'DFF - RSO budget'!Q36+'DFF - RSO budget'!Q100+'DFF - RSO budget'!Q163+'DFF - RSO budget'!Q226+'DFF - RSO budget'!Q289+'DFF - RSO budget'!AB36+'DFF - RSO budget'!AB100+'DFF - RSO budget'!AB163+'DFF - RSO budget'!AB226+'DFF - RSO budget'!AB289</f>
        <v>0</v>
      </c>
      <c r="F69" s="176">
        <f>'DFF - RSO budget'!G36+'DFF - RSO budget'!G100+'DFF - RSO budget'!G163+'DFF - RSO budget'!G226+'DFF - RSO budget'!G289+'DFF - RSO budget'!R36+'DFF - RSO budget'!R100+'DFF - RSO budget'!R163+'DFF - RSO budget'!R226+'DFF - RSO budget'!R289+'DFF - RSO budget'!AC36+'DFF - RSO budget'!AC100+'DFF - RSO budget'!AC163+'DFF - RSO budget'!AC226+'DFF - RSO budget'!AC289</f>
        <v>0</v>
      </c>
      <c r="G69" s="176">
        <f>'DFF - RSO budget'!H36+'DFF - RSO budget'!H100+'DFF - RSO budget'!H163+'DFF - RSO budget'!H226+'DFF - RSO budget'!H289+'DFF - RSO budget'!S36+'DFF - RSO budget'!S100+'DFF - RSO budget'!S163+'DFF - RSO budget'!S226+'DFF - RSO budget'!S289+'DFF - RSO budget'!AD36+'DFF - RSO budget'!AD100+'DFF - RSO budget'!AD163+'DFF - RSO budget'!AD226+'DFF - RSO budget'!AD289</f>
        <v>0</v>
      </c>
      <c r="H69" s="176">
        <f>'DFF - RSO budget'!I36+'DFF - RSO budget'!I100+'DFF - RSO budget'!I163+'DFF - RSO budget'!I226+'DFF - RSO budget'!I289+'DFF - RSO budget'!T36+'DFF - RSO budget'!T100+'DFF - RSO budget'!T163+'DFF - RSO budget'!T226+'DFF - RSO budget'!T289+'DFF - RSO budget'!AE36+'DFF - RSO budget'!AE100+'DFF - RSO budget'!AE163+'DFF - RSO budget'!AE226+'DFF - RSO budget'!AE289</f>
        <v>0</v>
      </c>
      <c r="I69" s="101"/>
    </row>
    <row r="70" spans="1:10" x14ac:dyDescent="0.2">
      <c r="A70" s="120" t="s">
        <v>54</v>
      </c>
      <c r="B70" s="175"/>
      <c r="C70" s="176">
        <f>'DFF - RSO budget'!D46+'DFF - RSO budget'!D110+'DFF - RSO budget'!D173+'DFF - RSO budget'!D236+'DFF - RSO budget'!D299+'DFF - RSO budget'!O46+'DFF - RSO budget'!O110+'DFF - RSO budget'!O173+'DFF - RSO budget'!O236+'DFF - RSO budget'!O299+'DFF - RSO budget'!Z46+'DFF - RSO budget'!Z110+'DFF - RSO budget'!Z173+'DFF - RSO budget'!Z236+'DFF - RSO budget'!Z299</f>
        <v>0</v>
      </c>
      <c r="D70" s="176">
        <f>'DFF - RSO budget'!E46+'DFF - RSO budget'!E110+'DFF - RSO budget'!E173+'DFF - RSO budget'!E236+'DFF - RSO budget'!E299+'DFF - RSO budget'!P46+'DFF - RSO budget'!P110+'DFF - RSO budget'!P173+'DFF - RSO budget'!P236+'DFF - RSO budget'!P299+'DFF - RSO budget'!AA46+'DFF - RSO budget'!AA110+'DFF - RSO budget'!AA173+'DFF - RSO budget'!AA236+'DFF - RSO budget'!AA299</f>
        <v>25000</v>
      </c>
      <c r="E70" s="176">
        <f>'DFF - RSO budget'!F46+'DFF - RSO budget'!F110+'DFF - RSO budget'!F173+'DFF - RSO budget'!F236+'DFF - RSO budget'!F299+'DFF - RSO budget'!Q46+'DFF - RSO budget'!Q110+'DFF - RSO budget'!Q173+'DFF - RSO budget'!Q236+'DFF - RSO budget'!Q299+'DFF - RSO budget'!AB46+'DFF - RSO budget'!AB110+'DFF - RSO budget'!AB173+'DFF - RSO budget'!AB236+'DFF - RSO budget'!AB299</f>
        <v>0</v>
      </c>
      <c r="F70" s="176">
        <f>'DFF - RSO budget'!G46+'DFF - RSO budget'!G110+'DFF - RSO budget'!G173+'DFF - RSO budget'!G236+'DFF - RSO budget'!G299+'DFF - RSO budget'!R46+'DFF - RSO budget'!R110+'DFF - RSO budget'!R173+'DFF - RSO budget'!R236+'DFF - RSO budget'!R299+'DFF - RSO budget'!AC46+'DFF - RSO budget'!AC110+'DFF - RSO budget'!AC173+'DFF - RSO budget'!AC236+'DFF - RSO budget'!AC299</f>
        <v>0</v>
      </c>
      <c r="G70" s="176">
        <f>'DFF - RSO budget'!H46+'DFF - RSO budget'!H110+'DFF - RSO budget'!H173+'DFF - RSO budget'!H236+'DFF - RSO budget'!H299+'DFF - RSO budget'!S46+'DFF - RSO budget'!S110+'DFF - RSO budget'!S173+'DFF - RSO budget'!S236+'DFF - RSO budget'!S299+'DFF - RSO budget'!AD46+'DFF - RSO budget'!AD110+'DFF - RSO budget'!AD173+'DFF - RSO budget'!AD236+'DFF - RSO budget'!AD299</f>
        <v>0</v>
      </c>
      <c r="H70" s="176">
        <f>'DFF - RSO budget'!I46+'DFF - RSO budget'!I110+'DFF - RSO budget'!I173+'DFF - RSO budget'!I236+'DFF - RSO budget'!I299+'DFF - RSO budget'!T46+'DFF - RSO budget'!T110+'DFF - RSO budget'!T173+'DFF - RSO budget'!T236+'DFF - RSO budget'!T299+'DFF - RSO budget'!AE46+'DFF - RSO budget'!AE110+'DFF - RSO budget'!AE173+'DFF - RSO budget'!AE236+'DFF - RSO budget'!AE299</f>
        <v>0</v>
      </c>
      <c r="I70" s="101"/>
    </row>
    <row r="71" spans="1:10" x14ac:dyDescent="0.2">
      <c r="A71" s="120" t="s">
        <v>31</v>
      </c>
      <c r="B71" s="175"/>
      <c r="C71" s="176">
        <f>'DFF - RSO budget'!D62+'DFF - RSO budget'!D125+'DFF - RSO budget'!D188+'DFF - RSO budget'!D251+'DFF - RSO budget'!D314+'DFF - RSO budget'!O62+'DFF - RSO budget'!O125+'DFF - RSO budget'!O188+'DFF - RSO budget'!O251+'DFF - RSO budget'!O314+'DFF - RSO budget'!Z62+'DFF - RSO budget'!Z125+'DFF - RSO budget'!Z188+'DFF - RSO budget'!Z251+'DFF - RSO budget'!Z314</f>
        <v>0</v>
      </c>
      <c r="D71" s="176">
        <f>'DFF - RSO budget'!E62+'DFF - RSO budget'!E125+'DFF - RSO budget'!E188+'DFF - RSO budget'!E251+'DFF - RSO budget'!E314+'DFF - RSO budget'!P62+'DFF - RSO budget'!P125+'DFF - RSO budget'!P188+'DFF - RSO budget'!P251+'DFF - RSO budget'!P314+'DFF - RSO budget'!AA62+'DFF - RSO budget'!AA125+'DFF - RSO budget'!AA188+'DFF - RSO budget'!AA251+'DFF - RSO budget'!AA314</f>
        <v>482048</v>
      </c>
      <c r="E71" s="176">
        <f>'DFF - RSO budget'!F62+'DFF - RSO budget'!F125+'DFF - RSO budget'!F188+'DFF - RSO budget'!F251+'DFF - RSO budget'!F314+'DFF - RSO budget'!Q62+'DFF - RSO budget'!Q125+'DFF - RSO budget'!Q188+'DFF - RSO budget'!Q251+'DFF - RSO budget'!Q314+'DFF - RSO budget'!AB62+'DFF - RSO budget'!AB125+'DFF - RSO budget'!AB188+'DFF - RSO budget'!AB251+'DFF - RSO budget'!AB314</f>
        <v>472048</v>
      </c>
      <c r="F71" s="176">
        <f>'DFF - RSO budget'!G62+'DFF - RSO budget'!G125+'DFF - RSO budget'!G188+'DFF - RSO budget'!G251+'DFF - RSO budget'!G314+'DFF - RSO budget'!R62+'DFF - RSO budget'!R125+'DFF - RSO budget'!R188+'DFF - RSO budget'!R251+'DFF - RSO budget'!R314+'DFF - RSO budget'!AC62+'DFF - RSO budget'!AC125+'DFF - RSO budget'!AC188+'DFF - RSO budget'!AC251+'DFF - RSO budget'!AC314</f>
        <v>182048</v>
      </c>
      <c r="G71" s="176">
        <f>'DFF - RSO budget'!H62+'DFF - RSO budget'!H125+'DFF - RSO budget'!H188+'DFF - RSO budget'!H251+'DFF - RSO budget'!H314+'DFF - RSO budget'!S62+'DFF - RSO budget'!S125+'DFF - RSO budget'!S188+'DFF - RSO budget'!S251+'DFF - RSO budget'!S314+'DFF - RSO budget'!AD62+'DFF - RSO budget'!AD125+'DFF - RSO budget'!AD188+'DFF - RSO budget'!AD251+'DFF - RSO budget'!AD314</f>
        <v>0</v>
      </c>
      <c r="H71" s="176">
        <f>'DFF - RSO budget'!I62+'DFF - RSO budget'!I125+'DFF - RSO budget'!I188+'DFF - RSO budget'!I251+'DFF - RSO budget'!I314+'DFF - RSO budget'!T62+'DFF - RSO budget'!T125+'DFF - RSO budget'!T188+'DFF - RSO budget'!T251+'DFF - RSO budget'!T314+'DFF - RSO budget'!AE62+'DFF - RSO budget'!AE125+'DFF - RSO budget'!AE188+'DFF - RSO budget'!AE251+'DFF - RSO budget'!AE314</f>
        <v>0</v>
      </c>
      <c r="I71" s="101"/>
    </row>
    <row r="72" spans="1:10" x14ac:dyDescent="0.2">
      <c r="A72" s="120" t="s">
        <v>56</v>
      </c>
      <c r="B72" s="175"/>
      <c r="C72" s="176">
        <f>'DFF - RSO budget'!D65+'DFF - RSO budget'!D128+'DFF - RSO budget'!D191+'DFF - RSO budget'!D254+'DFF - RSO budget'!D317</f>
        <v>0</v>
      </c>
      <c r="D72" s="176">
        <f>'DFF - RSO budget'!E65+'DFF - RSO budget'!E128+'DFF - RSO budget'!E191+'DFF - RSO budget'!E254+'DFF - RSO budget'!E317</f>
        <v>45798.75</v>
      </c>
      <c r="E72" s="176">
        <f>'DFF - RSO budget'!F65+'DFF - RSO budget'!F128+'DFF - RSO budget'!F191+'DFF - RSO budget'!F254+'DFF - RSO budget'!F317</f>
        <v>44457.700000000004</v>
      </c>
      <c r="F72" s="176">
        <f>'DFF - RSO budget'!G65+'DFF - RSO budget'!G128+'DFF - RSO budget'!G191+'DFF - RSO budget'!G254+'DFF - RSO budget'!G317</f>
        <v>30374.800000000003</v>
      </c>
      <c r="G72" s="176">
        <f>'DFF - RSO budget'!H65+'DFF - RSO budget'!H128+'DFF - RSO budget'!H191+'DFF - RSO budget'!H254+'DFF - RSO budget'!H317</f>
        <v>0</v>
      </c>
      <c r="H72" s="176">
        <f>'DFF - RSO budget'!I65+'DFF - RSO budget'!I128+'DFF - RSO budget'!I191+'DFF - RSO budget'!I254+'DFF - RSO budget'!I317</f>
        <v>0</v>
      </c>
      <c r="I72" s="101"/>
    </row>
    <row r="73" spans="1:10" ht="16" thickBot="1" x14ac:dyDescent="0.25">
      <c r="A73" s="121" t="s">
        <v>64</v>
      </c>
      <c r="B73" s="177" t="str">
        <f t="shared" ref="B73" si="0">IF(SUM(C73:H73)=0, "", SUM(C73:H73))</f>
        <v/>
      </c>
      <c r="C73" s="178"/>
      <c r="D73" s="178"/>
      <c r="E73" s="178"/>
      <c r="F73" s="178"/>
      <c r="G73" s="178"/>
      <c r="H73" s="179"/>
      <c r="I73" s="101"/>
    </row>
    <row r="74" spans="1:10" ht="16" thickBot="1" x14ac:dyDescent="0.25">
      <c r="A74" s="114"/>
      <c r="B74" s="115"/>
      <c r="C74" s="115"/>
      <c r="D74" s="115"/>
      <c r="E74" s="115"/>
      <c r="F74" s="115"/>
      <c r="G74" s="115"/>
      <c r="H74" s="115"/>
      <c r="I74" s="101"/>
    </row>
    <row r="75" spans="1:10" x14ac:dyDescent="0.2">
      <c r="A75" s="100" t="s">
        <v>51</v>
      </c>
      <c r="B75" s="71" t="s">
        <v>0</v>
      </c>
      <c r="C75" s="72">
        <v>2018</v>
      </c>
      <c r="D75" s="72">
        <v>2019</v>
      </c>
      <c r="E75" s="72">
        <v>2020</v>
      </c>
      <c r="F75" s="72">
        <v>2021</v>
      </c>
      <c r="G75" s="72">
        <v>2022</v>
      </c>
      <c r="H75" s="72">
        <v>2023</v>
      </c>
      <c r="I75" s="101"/>
    </row>
    <row r="76" spans="1:10" x14ac:dyDescent="0.2">
      <c r="A76" s="102" t="s">
        <v>52</v>
      </c>
      <c r="B76" s="161"/>
      <c r="C76" s="162">
        <f>'DFF - RSO budget'!D26+'DFF - RSO budget'!D90+'DFF - RSO budget'!D153+'DFF - RSO budget'!D216+'DFF - RSO budget'!D279</f>
        <v>0</v>
      </c>
      <c r="D76" s="162">
        <f>'DFF - RSO budget'!E26+'DFF - RSO budget'!E90+'DFF - RSO budget'!E153+'DFF - RSO budget'!E216+'DFF - RSO budget'!E279</f>
        <v>408927.13919999998</v>
      </c>
      <c r="E76" s="162">
        <f>'DFF - RSO budget'!F26+'DFF - RSO budget'!F90+'DFF - RSO budget'!F153+'DFF - RSO budget'!F216+'DFF - RSO budget'!F279</f>
        <v>417105.68198399991</v>
      </c>
      <c r="F76" s="162">
        <f>'DFF - RSO budget'!G26+'DFF - RSO budget'!G90+'DFF - RSO budget'!G153+'DFF - RSO budget'!G216+'DFF - RSO budget'!G279</f>
        <v>425447.79562367999</v>
      </c>
      <c r="G76" s="162">
        <f>'DFF - RSO budget'!H26+'DFF - RSO budget'!H90+'DFF - RSO budget'!H153+'DFF - RSO budget'!H216+'DFF - RSO budget'!H279</f>
        <v>0</v>
      </c>
      <c r="H76" s="162">
        <f>'DFF - RSO budget'!I26+'DFF - RSO budget'!I90+'DFF - RSO budget'!I153+'DFF - RSO budget'!I216+'DFF - RSO budget'!I279</f>
        <v>0</v>
      </c>
      <c r="I76" s="101"/>
    </row>
    <row r="77" spans="1:10" x14ac:dyDescent="0.2">
      <c r="A77" s="102" t="s">
        <v>53</v>
      </c>
      <c r="B77" s="161"/>
      <c r="C77" s="162">
        <f>'DFF - RSO budget'!D36+'DFF - RSO budget'!D100+'DFF - RSO budget'!D163+'DFF - RSO budget'!D226+'DFF - RSO budget'!D289</f>
        <v>0</v>
      </c>
      <c r="D77" s="162">
        <f>'DFF - RSO budget'!E36+'DFF - RSO budget'!E100+'DFF - RSO budget'!E163+'DFF - RSO budget'!E226+'DFF - RSO budget'!E289</f>
        <v>0</v>
      </c>
      <c r="E77" s="162">
        <f>'DFF - RSO budget'!F36+'DFF - RSO budget'!F100+'DFF - RSO budget'!F163+'DFF - RSO budget'!F226+'DFF - RSO budget'!F289</f>
        <v>0</v>
      </c>
      <c r="F77" s="162">
        <f>'DFF - RSO budget'!G36+'DFF - RSO budget'!G100+'DFF - RSO budget'!G163+'DFF - RSO budget'!G226+'DFF - RSO budget'!G289</f>
        <v>0</v>
      </c>
      <c r="G77" s="162">
        <f>'DFF - RSO budget'!H36+'DFF - RSO budget'!H100+'DFF - RSO budget'!H163+'DFF - RSO budget'!H226+'DFF - RSO budget'!H289</f>
        <v>0</v>
      </c>
      <c r="H77" s="162">
        <f>'DFF - RSO budget'!I36+'DFF - RSO budget'!I100+'DFF - RSO budget'!I163+'DFF - RSO budget'!I226+'DFF - RSO budget'!I289</f>
        <v>0</v>
      </c>
      <c r="I77" s="101"/>
    </row>
    <row r="78" spans="1:10" x14ac:dyDescent="0.2">
      <c r="A78" s="102" t="s">
        <v>54</v>
      </c>
      <c r="B78" s="161"/>
      <c r="C78" s="162">
        <f>'DFF - RSO budget'!D46+'DFF - RSO budget'!D110+'DFF - RSO budget'!D173+'DFF - RSO budget'!D236+'DFF - RSO budget'!D299</f>
        <v>0</v>
      </c>
      <c r="D78" s="162">
        <f>'DFF - RSO budget'!E46+'DFF - RSO budget'!E110+'DFF - RSO budget'!E173+'DFF - RSO budget'!E236+'DFF - RSO budget'!E299</f>
        <v>25000</v>
      </c>
      <c r="E78" s="162">
        <f>'DFF - RSO budget'!F46+'DFF - RSO budget'!F110+'DFF - RSO budget'!F173+'DFF - RSO budget'!F236+'DFF - RSO budget'!F299</f>
        <v>0</v>
      </c>
      <c r="F78" s="162">
        <f>'DFF - RSO budget'!G46+'DFF - RSO budget'!G110+'DFF - RSO budget'!G173+'DFF - RSO budget'!G236+'DFF - RSO budget'!G299</f>
        <v>0</v>
      </c>
      <c r="G78" s="162">
        <f>'DFF - RSO budget'!H46+'DFF - RSO budget'!H110+'DFF - RSO budget'!H173+'DFF - RSO budget'!H236+'DFF - RSO budget'!H299</f>
        <v>0</v>
      </c>
      <c r="H78" s="162">
        <f>'DFF - RSO budget'!I46+'DFF - RSO budget'!I110+'DFF - RSO budget'!I173+'DFF - RSO budget'!I236+'DFF - RSO budget'!I299</f>
        <v>0</v>
      </c>
      <c r="I78" s="101"/>
    </row>
    <row r="79" spans="1:10" x14ac:dyDescent="0.2">
      <c r="A79" s="102" t="s">
        <v>31</v>
      </c>
      <c r="B79" s="161"/>
      <c r="C79" s="162">
        <f>'DFF - RSO budget'!D62+'DFF - RSO budget'!D125+'DFF - RSO budget'!D188+'DFF - RSO budget'!D251+'DFF - RSO budget'!D314</f>
        <v>0</v>
      </c>
      <c r="D79" s="162">
        <f>'DFF - RSO budget'!E62+'DFF - RSO budget'!E125+'DFF - RSO budget'!E188+'DFF - RSO budget'!E251+'DFF - RSO budget'!E314</f>
        <v>482048</v>
      </c>
      <c r="E79" s="162">
        <f>'DFF - RSO budget'!F62+'DFF - RSO budget'!F125+'DFF - RSO budget'!F188+'DFF - RSO budget'!F251+'DFF - RSO budget'!F314</f>
        <v>472048</v>
      </c>
      <c r="F79" s="162">
        <f>'DFF - RSO budget'!G62+'DFF - RSO budget'!G125+'DFF - RSO budget'!G188+'DFF - RSO budget'!G251+'DFF - RSO budget'!G314</f>
        <v>182048</v>
      </c>
      <c r="G79" s="162">
        <f>'DFF - RSO budget'!H62+'DFF - RSO budget'!H125+'DFF - RSO budget'!H188+'DFF - RSO budget'!H251+'DFF - RSO budget'!H314</f>
        <v>0</v>
      </c>
      <c r="H79" s="162">
        <f>'DFF - RSO budget'!I62+'DFF - RSO budget'!I125+'DFF - RSO budget'!I188+'DFF - RSO budget'!I251+'DFF - RSO budget'!I314</f>
        <v>0</v>
      </c>
      <c r="I79" s="101"/>
      <c r="J79" s="115"/>
    </row>
    <row r="80" spans="1:10" x14ac:dyDescent="0.2">
      <c r="A80" s="103" t="s">
        <v>55</v>
      </c>
      <c r="B80" s="163">
        <f>SUM(C80:H80)</f>
        <v>2412624.6168076801</v>
      </c>
      <c r="C80" s="164">
        <f>SUM(C76:C79)</f>
        <v>0</v>
      </c>
      <c r="D80" s="164">
        <f t="shared" ref="D80:H80" si="1">SUM(D76:D79)</f>
        <v>915975.13919999998</v>
      </c>
      <c r="E80" s="164">
        <f t="shared" si="1"/>
        <v>889153.68198399991</v>
      </c>
      <c r="F80" s="164">
        <f t="shared" si="1"/>
        <v>607495.79562367999</v>
      </c>
      <c r="G80" s="164">
        <f t="shared" si="1"/>
        <v>0</v>
      </c>
      <c r="H80" s="164">
        <f t="shared" si="1"/>
        <v>0</v>
      </c>
      <c r="I80" s="101"/>
    </row>
    <row r="81" spans="1:11" x14ac:dyDescent="0.2">
      <c r="A81" s="102" t="s">
        <v>56</v>
      </c>
      <c r="B81" s="165"/>
      <c r="C81" s="165">
        <f>'DFF - RSO budget'!D65+'DFF - RSO budget'!D128+'DFF - RSO budget'!D191+'DFF - RSO budget'!D254+'DFF - RSO budget'!D317</f>
        <v>0</v>
      </c>
      <c r="D81" s="165">
        <f>'DFF - RSO budget'!E65+'DFF - RSO budget'!E128+'DFF - RSO budget'!E191+'DFF - RSO budget'!E254+'DFF - RSO budget'!E317</f>
        <v>45798.75</v>
      </c>
      <c r="E81" s="165">
        <f>'DFF - RSO budget'!F65+'DFF - RSO budget'!F128+'DFF - RSO budget'!F191+'DFF - RSO budget'!F254+'DFF - RSO budget'!F317</f>
        <v>44457.700000000004</v>
      </c>
      <c r="F81" s="165">
        <f>'DFF - RSO budget'!G65+'DFF - RSO budget'!G128+'DFF - RSO budget'!G191+'DFF - RSO budget'!G254+'DFF - RSO budget'!G317</f>
        <v>30374.800000000003</v>
      </c>
      <c r="G81" s="165">
        <f>'DFF - RSO budget'!H65+'DFF - RSO budget'!H128+'DFF - RSO budget'!H191+'DFF - RSO budget'!H254+'DFF - RSO budget'!H317</f>
        <v>0</v>
      </c>
      <c r="H81" s="165">
        <f>'DFF - RSO budget'!I65+'DFF - RSO budget'!I128+'DFF - RSO budget'!I191+'DFF - RSO budget'!I254+'DFF - RSO budget'!I317</f>
        <v>0</v>
      </c>
      <c r="I81" s="101"/>
      <c r="K81" t="s">
        <v>65</v>
      </c>
    </row>
    <row r="82" spans="1:11" ht="16" thickBot="1" x14ac:dyDescent="0.25">
      <c r="A82" s="104" t="s">
        <v>57</v>
      </c>
      <c r="B82" s="166"/>
      <c r="C82" s="167"/>
      <c r="D82" s="167"/>
      <c r="E82" s="167"/>
      <c r="F82" s="167"/>
      <c r="G82" s="167"/>
      <c r="H82" s="168"/>
      <c r="I82" s="101"/>
    </row>
    <row r="83" spans="1:11" ht="16" thickBot="1" x14ac:dyDescent="0.25">
      <c r="A83" s="105"/>
      <c r="B83" s="106"/>
      <c r="C83" s="106"/>
      <c r="D83" s="106"/>
      <c r="E83" s="106"/>
      <c r="F83" s="106"/>
      <c r="G83" s="106"/>
      <c r="H83" s="106"/>
      <c r="I83" s="101"/>
      <c r="J83" s="115"/>
    </row>
    <row r="84" spans="1:11" x14ac:dyDescent="0.2">
      <c r="A84" s="107" t="s">
        <v>58</v>
      </c>
      <c r="B84" s="73" t="s">
        <v>0</v>
      </c>
      <c r="C84" s="74">
        <v>2018</v>
      </c>
      <c r="D84" s="74">
        <v>2019</v>
      </c>
      <c r="E84" s="74">
        <v>2020</v>
      </c>
      <c r="F84" s="74">
        <v>2021</v>
      </c>
      <c r="G84" s="74">
        <v>2022</v>
      </c>
      <c r="H84" s="74">
        <v>2023</v>
      </c>
      <c r="I84" s="101"/>
    </row>
    <row r="85" spans="1:11" x14ac:dyDescent="0.2">
      <c r="A85" s="102" t="s">
        <v>52</v>
      </c>
      <c r="B85" s="161"/>
      <c r="C85" s="162">
        <f>'DFF - RSO budget'!O26+'DFF - RSO budget'!O90+'DFF - RSO budget'!O153+'DFF - RSO budget'!O216+'DFF - RSO budget'!O279</f>
        <v>56778.3</v>
      </c>
      <c r="D85" s="162">
        <f>'DFF - RSO budget'!P26+'DFF - RSO budget'!P90+'DFF - RSO budget'!P153+'DFF - RSO budget'!P216+'DFF - RSO budget'!P279</f>
        <v>115827.732</v>
      </c>
      <c r="E85" s="162">
        <f>'DFF - RSO budget'!Q26+'DFF - RSO budget'!Q90+'DFF - RSO budget'!Q153+'DFF - RSO budget'!Q216+'DFF - RSO budget'!Q279</f>
        <v>118144.28663999999</v>
      </c>
      <c r="F85" s="162">
        <f>'DFF - RSO budget'!R26+'DFF - RSO budget'!R90+'DFF - RSO budget'!R153+'DFF - RSO budget'!R216+'DFF - RSO budget'!R279</f>
        <v>120507.17237279999</v>
      </c>
      <c r="G85" s="162">
        <f>'DFF - RSO budget'!S26+'DFF - RSO budget'!S90+'DFF - RSO budget'!S153+'DFF - RSO budget'!S216+'DFF - RSO budget'!S279</f>
        <v>122917.315820256</v>
      </c>
      <c r="H85" s="162">
        <f>'DFF - RSO budget'!T26+'DFF - RSO budget'!T90+'DFF - RSO budget'!T153+'DFF - RSO budget'!T216+'DFF - RSO budget'!T279</f>
        <v>0</v>
      </c>
      <c r="I85" s="101"/>
    </row>
    <row r="86" spans="1:11" x14ac:dyDescent="0.2">
      <c r="A86" s="102" t="s">
        <v>53</v>
      </c>
      <c r="B86" s="161"/>
      <c r="C86" s="162">
        <f>'DFF - RSO budget'!O36+'DFF - RSO budget'!O100+'DFF - RSO budget'!O163+'DFF - RSO budget'!O226+'DFF - RSO budget'!O289</f>
        <v>0</v>
      </c>
      <c r="D86" s="162">
        <f>'DFF - RSO budget'!P36+'DFF - RSO budget'!P100+'DFF - RSO budget'!P163+'DFF - RSO budget'!P226+'DFF - RSO budget'!P289</f>
        <v>0</v>
      </c>
      <c r="E86" s="162">
        <f>'DFF - RSO budget'!Q36+'DFF - RSO budget'!Q100+'DFF - RSO budget'!Q163+'DFF - RSO budget'!Q226+'DFF - RSO budget'!Q289</f>
        <v>0</v>
      </c>
      <c r="F86" s="162">
        <f>'DFF - RSO budget'!R36+'DFF - RSO budget'!R100+'DFF - RSO budget'!R163+'DFF - RSO budget'!R226+'DFF - RSO budget'!R289</f>
        <v>0</v>
      </c>
      <c r="G86" s="162">
        <f>'DFF - RSO budget'!S36+'DFF - RSO budget'!S100+'DFF - RSO budget'!S163+'DFF - RSO budget'!S226+'DFF - RSO budget'!S289</f>
        <v>0</v>
      </c>
      <c r="H86" s="162">
        <f>'DFF - RSO budget'!T36+'DFF - RSO budget'!T100+'DFF - RSO budget'!T163+'DFF - RSO budget'!T226+'DFF - RSO budget'!T289</f>
        <v>0</v>
      </c>
      <c r="I86" s="101"/>
    </row>
    <row r="87" spans="1:11" x14ac:dyDescent="0.2">
      <c r="A87" s="102" t="s">
        <v>54</v>
      </c>
      <c r="B87" s="161"/>
      <c r="C87" s="162">
        <f>'DFF - RSO budget'!O46+'DFF - RSO budget'!O110+'DFF - RSO budget'!O173+'DFF - RSO budget'!O236+'DFF - RSO budget'!O299</f>
        <v>0</v>
      </c>
      <c r="D87" s="162">
        <f>'DFF - RSO budget'!P46+'DFF - RSO budget'!P110+'DFF - RSO budget'!P173+'DFF - RSO budget'!P236+'DFF - RSO budget'!P299</f>
        <v>0</v>
      </c>
      <c r="E87" s="162">
        <f>'DFF - RSO budget'!Q46+'DFF - RSO budget'!Q110+'DFF - RSO budget'!Q173+'DFF - RSO budget'!Q236+'DFF - RSO budget'!Q299</f>
        <v>0</v>
      </c>
      <c r="F87" s="162">
        <f>'DFF - RSO budget'!R46+'DFF - RSO budget'!R110+'DFF - RSO budget'!R173+'DFF - RSO budget'!R236+'DFF - RSO budget'!R299</f>
        <v>0</v>
      </c>
      <c r="G87" s="162">
        <f>'DFF - RSO budget'!S46+'DFF - RSO budget'!S110+'DFF - RSO budget'!S173+'DFF - RSO budget'!S236+'DFF - RSO budget'!S299</f>
        <v>0</v>
      </c>
      <c r="H87" s="162">
        <f>'DFF - RSO budget'!T46+'DFF - RSO budget'!T110+'DFF - RSO budget'!T173+'DFF - RSO budget'!T236+'DFF - RSO budget'!T299</f>
        <v>0</v>
      </c>
      <c r="I87" s="101"/>
    </row>
    <row r="88" spans="1:11" x14ac:dyDescent="0.2">
      <c r="A88" s="102" t="s">
        <v>31</v>
      </c>
      <c r="B88" s="161"/>
      <c r="C88" s="162">
        <f>'DFF - RSO budget'!O62+'DFF - RSO budget'!O125+'DFF - RSO budget'!O188+'DFF - RSO budget'!O251+'DFF - RSO budget'!O314</f>
        <v>0</v>
      </c>
      <c r="D88" s="162">
        <f>'DFF - RSO budget'!P62+'DFF - RSO budget'!P125+'DFF - RSO budget'!P188+'DFF - RSO budget'!P251+'DFF - RSO budget'!P314</f>
        <v>0</v>
      </c>
      <c r="E88" s="162">
        <f>'DFF - RSO budget'!Q62+'DFF - RSO budget'!Q125+'DFF - RSO budget'!Q188+'DFF - RSO budget'!Q251+'DFF - RSO budget'!Q314</f>
        <v>0</v>
      </c>
      <c r="F88" s="162">
        <f>'DFF - RSO budget'!R62+'DFF - RSO budget'!R125+'DFF - RSO budget'!R188+'DFF - RSO budget'!R251+'DFF - RSO budget'!R314</f>
        <v>0</v>
      </c>
      <c r="G88" s="162">
        <f>'DFF - RSO budget'!S62+'DFF - RSO budget'!S125+'DFF - RSO budget'!S188+'DFF - RSO budget'!S251+'DFF - RSO budget'!S314</f>
        <v>0</v>
      </c>
      <c r="H88" s="162">
        <f>'DFF - RSO budget'!T62+'DFF - RSO budget'!T125+'DFF - RSO budget'!T188+'DFF - RSO budget'!T251+'DFF - RSO budget'!T314</f>
        <v>0</v>
      </c>
      <c r="I88" s="101"/>
    </row>
    <row r="89" spans="1:11" ht="16" thickBot="1" x14ac:dyDescent="0.25">
      <c r="A89" s="108" t="s">
        <v>59</v>
      </c>
      <c r="B89" s="172"/>
      <c r="C89" s="173"/>
      <c r="D89" s="173"/>
      <c r="E89" s="173"/>
      <c r="F89" s="173"/>
      <c r="G89" s="173"/>
      <c r="H89" s="174"/>
      <c r="I89" s="101"/>
    </row>
    <row r="90" spans="1:11" ht="16" thickBot="1" x14ac:dyDescent="0.25">
      <c r="A90" s="105"/>
      <c r="B90" s="106"/>
      <c r="C90" s="106"/>
      <c r="D90" s="106"/>
      <c r="E90" s="106"/>
      <c r="F90" s="106"/>
      <c r="G90" s="106"/>
      <c r="H90" s="106"/>
      <c r="I90" s="101"/>
    </row>
    <row r="91" spans="1:11" x14ac:dyDescent="0.2">
      <c r="A91" s="109" t="s">
        <v>7</v>
      </c>
      <c r="B91" s="75" t="s">
        <v>0</v>
      </c>
      <c r="C91" s="76">
        <v>2018</v>
      </c>
      <c r="D91" s="76">
        <v>2019</v>
      </c>
      <c r="E91" s="76">
        <v>2020</v>
      </c>
      <c r="F91" s="76">
        <v>2021</v>
      </c>
      <c r="G91" s="76">
        <v>2022</v>
      </c>
      <c r="H91" s="76">
        <v>2023</v>
      </c>
      <c r="I91" s="101"/>
    </row>
    <row r="92" spans="1:11" x14ac:dyDescent="0.2">
      <c r="A92" s="102" t="s">
        <v>52</v>
      </c>
      <c r="B92" s="161"/>
      <c r="C92" s="162">
        <f>'DFF - RSO budget'!Z26+'DFF - RSO budget'!Z90+'DFF - RSO budget'!Z153+'DFF - RSO budget'!Z216+'DFF - RSO budget'!Z279</f>
        <v>0</v>
      </c>
      <c r="D92" s="162">
        <f>'DFF - RSO budget'!AA26+'DFF - RSO budget'!AA90+'DFF - RSO budget'!AA153+'DFF - RSO budget'!AA216+'DFF - RSO budget'!AA279</f>
        <v>0</v>
      </c>
      <c r="E92" s="162">
        <f>'DFF - RSO budget'!AB26+'DFF - RSO budget'!AB90+'DFF - RSO budget'!AB153+'DFF - RSO budget'!AB216+'DFF - RSO budget'!AB279</f>
        <v>0</v>
      </c>
      <c r="F92" s="162">
        <f>'DFF - RSO budget'!AC26+'DFF - RSO budget'!AC90+'DFF - RSO budget'!AC153+'DFF - RSO budget'!AC216+'DFF - RSO budget'!AC279</f>
        <v>0</v>
      </c>
      <c r="G92" s="162">
        <f>'DFF - RSO budget'!AD26+'DFF - RSO budget'!AD90+'DFF - RSO budget'!AD153+'DFF - RSO budget'!AD216+'DFF - RSO budget'!AD279</f>
        <v>0</v>
      </c>
      <c r="H92" s="162">
        <f>'DFF - RSO budget'!AE26+'DFF - RSO budget'!AE90+'DFF - RSO budget'!AE153+'DFF - RSO budget'!AE216+'DFF - RSO budget'!AE279</f>
        <v>0</v>
      </c>
      <c r="I92" s="101"/>
    </row>
    <row r="93" spans="1:11" x14ac:dyDescent="0.2">
      <c r="A93" s="102" t="s">
        <v>53</v>
      </c>
      <c r="B93" s="161"/>
      <c r="C93" s="162">
        <f>'DFF - RSO budget'!Z36+'DFF - RSO budget'!Z100+'DFF - RSO budget'!Z163+'DFF - RSO budget'!Z226+'DFF - RSO budget'!Z289</f>
        <v>0</v>
      </c>
      <c r="D93" s="162">
        <f>'DFF - RSO budget'!AA36+'DFF - RSO budget'!AA100+'DFF - RSO budget'!AA163+'DFF - RSO budget'!AA226+'DFF - RSO budget'!AA289</f>
        <v>0</v>
      </c>
      <c r="E93" s="162">
        <f>'DFF - RSO budget'!AB36+'DFF - RSO budget'!AB100+'DFF - RSO budget'!AB163+'DFF - RSO budget'!AB226+'DFF - RSO budget'!AB289</f>
        <v>0</v>
      </c>
      <c r="F93" s="162">
        <f>'DFF - RSO budget'!AC36+'DFF - RSO budget'!AC100+'DFF - RSO budget'!AC163+'DFF - RSO budget'!AC226+'DFF - RSO budget'!AC289</f>
        <v>0</v>
      </c>
      <c r="G93" s="162">
        <f>'DFF - RSO budget'!AD36+'DFF - RSO budget'!AD100+'DFF - RSO budget'!AD163+'DFF - RSO budget'!AD226+'DFF - RSO budget'!AD289</f>
        <v>0</v>
      </c>
      <c r="H93" s="162">
        <f>'DFF - RSO budget'!AE36+'DFF - RSO budget'!AE100+'DFF - RSO budget'!AE163+'DFF - RSO budget'!AE226+'DFF - RSO budget'!AE289</f>
        <v>0</v>
      </c>
      <c r="I93" s="101"/>
    </row>
    <row r="94" spans="1:11" x14ac:dyDescent="0.2">
      <c r="A94" s="102" t="s">
        <v>54</v>
      </c>
      <c r="B94" s="161"/>
      <c r="C94" s="162">
        <f>'DFF - RSO budget'!Z46+'DFF - RSO budget'!Z110+'DFF - RSO budget'!Z173+'DFF - RSO budget'!Z236+'DFF - RSO budget'!Z299</f>
        <v>0</v>
      </c>
      <c r="D94" s="162">
        <f>'DFF - RSO budget'!AA46+'DFF - RSO budget'!AA110+'DFF - RSO budget'!AA173+'DFF - RSO budget'!AA236+'DFF - RSO budget'!AA299</f>
        <v>0</v>
      </c>
      <c r="E94" s="162">
        <f>'DFF - RSO budget'!AB46+'DFF - RSO budget'!AB110+'DFF - RSO budget'!AB173+'DFF - RSO budget'!AB236+'DFF - RSO budget'!AB299</f>
        <v>0</v>
      </c>
      <c r="F94" s="162">
        <f>'DFF - RSO budget'!AC46+'DFF - RSO budget'!AC110+'DFF - RSO budget'!AC173+'DFF - RSO budget'!AC236+'DFF - RSO budget'!AC299</f>
        <v>0</v>
      </c>
      <c r="G94" s="162">
        <f>'DFF - RSO budget'!AD46+'DFF - RSO budget'!AD110+'DFF - RSO budget'!AD173+'DFF - RSO budget'!AD236+'DFF - RSO budget'!AD299</f>
        <v>0</v>
      </c>
      <c r="H94" s="162">
        <f>'DFF - RSO budget'!AE46+'DFF - RSO budget'!AE110+'DFF - RSO budget'!AE173+'DFF - RSO budget'!AE236+'DFF - RSO budget'!AE299</f>
        <v>0</v>
      </c>
      <c r="I94" s="101"/>
    </row>
    <row r="95" spans="1:11" x14ac:dyDescent="0.2">
      <c r="A95" s="102" t="s">
        <v>31</v>
      </c>
      <c r="B95" s="161"/>
      <c r="C95" s="162">
        <f>'DFF - RSO budget'!Z62+'DFF - RSO budget'!Z125+'DFF - RSO budget'!Z188+'DFF - RSO budget'!Z251+'DFF - RSO budget'!Z314</f>
        <v>0</v>
      </c>
      <c r="D95" s="162">
        <f>'DFF - RSO budget'!AA62+'DFF - RSO budget'!AA125+'DFF - RSO budget'!AA188+'DFF - RSO budget'!AA251+'DFF - RSO budget'!AA314</f>
        <v>0</v>
      </c>
      <c r="E95" s="162">
        <f>'DFF - RSO budget'!AB62+'DFF - RSO budget'!AB125+'DFF - RSO budget'!AB188+'DFF - RSO budget'!AB251+'DFF - RSO budget'!AB314</f>
        <v>0</v>
      </c>
      <c r="F95" s="162">
        <f>'DFF - RSO budget'!AC62+'DFF - RSO budget'!AC125+'DFF - RSO budget'!AC188+'DFF - RSO budget'!AC251+'DFF - RSO budget'!AC314</f>
        <v>0</v>
      </c>
      <c r="G95" s="162">
        <f>'DFF - RSO budget'!AD62+'DFF - RSO budget'!AD125+'DFF - RSO budget'!AD188+'DFF - RSO budget'!AD251+'DFF - RSO budget'!AD314</f>
        <v>0</v>
      </c>
      <c r="H95" s="162">
        <f>'DFF - RSO budget'!AE62+'DFF - RSO budget'!AE125+'DFF - RSO budget'!AE188+'DFF - RSO budget'!AE251+'DFF - RSO budget'!AE314</f>
        <v>0</v>
      </c>
      <c r="I95" s="101"/>
    </row>
    <row r="96" spans="1:11" ht="16" thickBot="1" x14ac:dyDescent="0.25">
      <c r="A96" s="110" t="s">
        <v>60</v>
      </c>
      <c r="B96" s="169"/>
      <c r="C96" s="170"/>
      <c r="D96" s="170"/>
      <c r="E96" s="170"/>
      <c r="F96" s="170"/>
      <c r="G96" s="170"/>
      <c r="H96" s="171"/>
      <c r="I96" s="101"/>
    </row>
    <row r="97" spans="1:10" x14ac:dyDescent="0.2">
      <c r="A97" s="111"/>
      <c r="B97" s="112"/>
      <c r="C97" s="112"/>
      <c r="D97" s="112"/>
      <c r="E97" s="112"/>
      <c r="F97" s="112"/>
      <c r="G97" s="112"/>
      <c r="H97" s="112"/>
      <c r="I97" s="113"/>
      <c r="J97" s="115"/>
    </row>
  </sheetData>
  <mergeCells count="17">
    <mergeCell ref="G33:L33"/>
    <mergeCell ref="G34:L34"/>
    <mergeCell ref="G35:L35"/>
    <mergeCell ref="G36:L36"/>
    <mergeCell ref="G37:L37"/>
    <mergeCell ref="G32:L32"/>
    <mergeCell ref="G21:L21"/>
    <mergeCell ref="G22:L22"/>
    <mergeCell ref="G23:L23"/>
    <mergeCell ref="G24:L24"/>
    <mergeCell ref="G25:L25"/>
    <mergeCell ref="G26:L26"/>
    <mergeCell ref="G27:L27"/>
    <mergeCell ref="G28:L28"/>
    <mergeCell ref="G29:L29"/>
    <mergeCell ref="G30:L30"/>
    <mergeCell ref="G31:L31"/>
  </mergeCells>
  <conditionalFormatting sqref="M7:M18 E7:J18">
    <cfRule type="expression" dxfId="10" priority="11">
      <formula>AND($C7="", $D7="")</formula>
    </cfRule>
  </conditionalFormatting>
  <conditionalFormatting sqref="B22:E37 G22:G24">
    <cfRule type="expression" dxfId="9" priority="10">
      <formula>$A22=""</formula>
    </cfRule>
  </conditionalFormatting>
  <conditionalFormatting sqref="G25:G37">
    <cfRule type="expression" dxfId="8" priority="9">
      <formula>$A25=""</formula>
    </cfRule>
  </conditionalFormatting>
  <conditionalFormatting sqref="B42:B45 B51:B54 B58:B61">
    <cfRule type="expression" dxfId="7" priority="6">
      <formula>SUM($C42:$H42)&lt;&gt;$B42</formula>
    </cfRule>
  </conditionalFormatting>
  <conditionalFormatting sqref="C42:H45 C51:H54 C58:H61 C85:H88 C92:H95">
    <cfRule type="expression" dxfId="6" priority="5" stopIfTrue="1">
      <formula>OR(VALUE(C$23)&lt;YEAR(Projektstart), VALUE(C$23)&gt;YEAR(Projektslut))</formula>
    </cfRule>
    <cfRule type="expression" dxfId="5" priority="7">
      <formula>OR(AND($B42="", SUM($C42:$H42)&lt;&gt;0), AND($B42&lt;&gt;"", SUM($C42:$H42)&lt;&gt;$B42))</formula>
    </cfRule>
    <cfRule type="expression" dxfId="4" priority="8">
      <formula>AND($B42&lt;&gt;"", SUM($C42:$H42)=$B42)</formula>
    </cfRule>
  </conditionalFormatting>
  <conditionalFormatting sqref="B76:B79 B85:B88 B92:B95">
    <cfRule type="expression" dxfId="3" priority="2">
      <formula>SUM($C76:$H76)&lt;&gt;$B76</formula>
    </cfRule>
  </conditionalFormatting>
  <conditionalFormatting sqref="C76:H79">
    <cfRule type="expression" dxfId="2" priority="1" stopIfTrue="1">
      <formula>OR(VALUE(C$23)&lt;YEAR(Projektstart), VALUE(C$23)&gt;YEAR(Projektslut))</formula>
    </cfRule>
    <cfRule type="expression" dxfId="1" priority="3">
      <formula>OR(AND($B76="", SUM($C76:$H76)&lt;&gt;0), AND($B76&lt;&gt;"", SUM($C76:$H76)&lt;&gt;$B76))</formula>
    </cfRule>
    <cfRule type="expression" dxfId="0" priority="4">
      <formula>AND($B76&lt;&gt;"", SUM($C76:$H76)=$B76)</formula>
    </cfRule>
  </conditionalFormatting>
  <dataValidations count="6">
    <dataValidation type="textLength" operator="lessThanOrEqual" allowBlank="1" showInputMessage="1" showErrorMessage="1" errorTitle="Invalid value" error="This cell can hold at most 100 characters." sqref="B7:D18" xr:uid="{00000000-0002-0000-0200-000000000000}">
      <formula1>100</formula1>
    </dataValidation>
    <dataValidation type="textLength" operator="lessThanOrEqual" allowBlank="1" showErrorMessage="1" error="The description must not exceed 300 characters." prompt="Add a description of the salary and its relevance for your project. Please note the description must not exceed 300 characters. " sqref="M8:M18" xr:uid="{00000000-0002-0000-0200-000001000000}">
      <formula1>300</formula1>
    </dataValidation>
    <dataValidation type="textLength" operator="lessThanOrEqual" allowBlank="1" showInputMessage="1" showErrorMessage="1" error="The description must not exceed 300 characters." prompt="Add a description of the salary and its relevance for your project. Please note the description must not exceed 300 characters. " sqref="M7" xr:uid="{00000000-0002-0000-0200-000002000000}">
      <formula1>300</formula1>
    </dataValidation>
    <dataValidation allowBlank="1" showInputMessage="1" showErrorMessage="1" errorTitle="Invalid value" error="You must select a value from the list." sqref="A22:A37" xr:uid="{00000000-0002-0000-0200-000003000000}"/>
    <dataValidation operator="greaterThan" allowBlank="1" showInputMessage="1" showErrorMessage="1" errorTitle="Invalid value" error="You can only enter positive integers." sqref="B22:F37 F7:F18 B41:H66 A41:A65 A74:H96" xr:uid="{00000000-0002-0000-0200-000004000000}"/>
    <dataValidation allowBlank="1" showInputMessage="1" showErrorMessage="1" errorTitle="Negative numbers not allowed" error="You cannot enter negative numbers in this cell." sqref="B68:H73" xr:uid="{00000000-0002-0000-0200-000005000000}"/>
  </dataValidations>
  <pageMargins left="0.7" right="0.7" top="0.75" bottom="0.75" header="0.3" footer="0.3"/>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DFF - RSO budget</vt:lpstr>
      <vt:lpstr>Guidelines</vt:lpstr>
      <vt:lpstr>Entries for DFF</vt:lpstr>
    </vt:vector>
  </TitlesOfParts>
  <Company>Statens 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Budget-Grand solutions - Broken down by year -  2016 - Innovation Fund Denmark</dc:title>
  <dc:creator>Birthe Schouby</dc:creator>
  <cp:lastModifiedBy>Kasper Munch Terkelsen</cp:lastModifiedBy>
  <cp:lastPrinted>2016-05-14T14:16:27Z</cp:lastPrinted>
  <dcterms:created xsi:type="dcterms:W3CDTF">2015-05-15T09:52:11Z</dcterms:created>
  <dcterms:modified xsi:type="dcterms:W3CDTF">2019-12-03T08:31:48Z</dcterms:modified>
</cp:coreProperties>
</file>